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Customers" sheetId="2" state="visible" r:id="rId4"/>
    <sheet name="Products" sheetId="3" state="visible" r:id="rId5"/>
    <sheet name="Historical Deals" sheetId="4" state="visible" r:id="rId6"/>
    <sheet name="Pricing Calculator" sheetId="5" state="visible" r:id="rId7"/>
    <sheet name="Scenario Analysis" sheetId="6" state="visible" r:id="rId8"/>
    <sheet name="Risk Assessment" sheetId="7" state="visible" r:id="rId9"/>
    <sheet name="Proposal Summary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<sst xmlns="http://schemas.openxmlformats.org/spreadsheetml/2006/main" count="2347" uniqueCount="915">
  <si>
    <t xml:space="preserve">Commercial Proposal &amp; Pricing Simulator — Excel Model</t>
  </si>
  <si>
    <t xml:space="preserve">This workbook is a decision-support tool for evaluating B2B industrial sales proposals.</t>
  </si>
  <si>
    <t xml:space="preserve">It is built around a fictional company, InduTech Solutions, and a fully synthetic dataset.</t>
  </si>
  <si>
    <t xml:space="preserve">How to use this workbook:</t>
  </si>
  <si>
    <t xml:space="preserve">1. Go to the 'Pricing Calculator' sheet.</t>
  </si>
  <si>
    <t xml:space="preserve">2. Edit the YELLOW cells only (Customer, Product, Quantity, Discount, Competitor Price, Payment Terms, Expected Delivery Days, Target Margin).</t>
  </si>
  <si>
    <t xml:space="preserve">3. All other cells recalculate automatically using formulas (INDEX/MATCH lookups to Customers and Products, plus the pricing formulas below).</t>
  </si>
  <si>
    <t xml:space="preserve">4. Check 'Scenario Analysis' for a 5%/10%/15%/20% discount comparison.</t>
  </si>
  <si>
    <t xml:space="preserve">5. Check 'Risk Assessment' for the weighted commercial risk score.</t>
  </si>
  <si>
    <t xml:space="preserve">6. 'Proposal Summary' auto-builds a presentable summary from the Pricing Calculator inputs.</t>
  </si>
  <si>
    <t xml:space="preserve">Core formulas:</t>
  </si>
  <si>
    <t xml:space="preserve">  Revenue = Quantity x Quoted Unit Price</t>
  </si>
  <si>
    <t xml:space="preserve">  Total Cost = Base Cost + Installation + Maintenance + Warranty + Logistics + Other (x Quantity)</t>
  </si>
  <si>
    <t xml:space="preserve">  Gross Profit = Revenue - Total Cost</t>
  </si>
  <si>
    <t xml:space="preserve">  Gross Margin % = Gross Profit / Revenue</t>
  </si>
  <si>
    <t xml:space="preserve">  Minimum Price = Total Cost / (1 - Minimum Margin)</t>
  </si>
  <si>
    <t xml:space="preserve">  Target Price = Total Cost / (1 - Target Margin)</t>
  </si>
  <si>
    <t xml:space="preserve">Color legend:</t>
  </si>
  <si>
    <t xml:space="preserve">  Blue text   = hardcoded input / assumption</t>
  </si>
  <si>
    <t xml:space="preserve">  Black text  = formula (do not overwrite)</t>
  </si>
  <si>
    <t xml:space="preserve">  Yellow fill = cell you are expected to edit</t>
  </si>
  <si>
    <t xml:space="preserve">Limitations: dataset is synthetic; win probability and risk scores are simplified, configurable decision-support estimates, not guarantees or audited financial figures.</t>
  </si>
  <si>
    <t xml:space="preserve">Customer_ID</t>
  </si>
  <si>
    <t xml:space="preserve">Customer_Name</t>
  </si>
  <si>
    <t xml:space="preserve">Industry</t>
  </si>
  <si>
    <t xml:space="preserve">Region</t>
  </si>
  <si>
    <t xml:space="preserve">Annual_Revenue</t>
  </si>
  <si>
    <t xml:space="preserve">Customer_Tier</t>
  </si>
  <si>
    <t xml:space="preserve">Previous_Orders</t>
  </si>
  <si>
    <t xml:space="preserve">Average_Order_Value</t>
  </si>
  <si>
    <t xml:space="preserve">Historical_Win_Rate</t>
  </si>
  <si>
    <t xml:space="preserve">Payment_Reliability</t>
  </si>
  <si>
    <t xml:space="preserve">Average_Payment_Days</t>
  </si>
  <si>
    <t xml:space="preserve">Relationship_Years</t>
  </si>
  <si>
    <t xml:space="preserve">Strategic_Account</t>
  </si>
  <si>
    <t xml:space="preserve">Customer_Risk_Level</t>
  </si>
  <si>
    <t xml:space="preserve">CUST0001</t>
  </si>
  <si>
    <t xml:space="preserve">IOCL Industries 1</t>
  </si>
  <si>
    <t xml:space="preserve">Renewable Energy</t>
  </si>
  <si>
    <t xml:space="preserve">Middle East</t>
  </si>
  <si>
    <t xml:space="preserve">Bronze</t>
  </si>
  <si>
    <t xml:space="preserve">Medium</t>
  </si>
  <si>
    <t xml:space="preserve">CUST0002</t>
  </si>
  <si>
    <t xml:space="preserve">BPCL Infra 2</t>
  </si>
  <si>
    <t xml:space="preserve">Manufacturing</t>
  </si>
  <si>
    <t xml:space="preserve">SE Asia</t>
  </si>
  <si>
    <t xml:space="preserve">Silver</t>
  </si>
  <si>
    <t xml:space="preserve">CUST0003</t>
  </si>
  <si>
    <t xml:space="preserve">GAIL Infra 3</t>
  </si>
  <si>
    <t xml:space="preserve">Oil &amp; Gas</t>
  </si>
  <si>
    <t xml:space="preserve">South India</t>
  </si>
  <si>
    <t xml:space="preserve">Gold</t>
  </si>
  <si>
    <t xml:space="preserve">Low</t>
  </si>
  <si>
    <t xml:space="preserve">CUST0004</t>
  </si>
  <si>
    <t xml:space="preserve">Vedanta Power 4</t>
  </si>
  <si>
    <t xml:space="preserve">Petrochemicals</t>
  </si>
  <si>
    <t xml:space="preserve">West India</t>
  </si>
  <si>
    <t xml:space="preserve">CUST0005</t>
  </si>
  <si>
    <t xml:space="preserve">GAIL Industries 5</t>
  </si>
  <si>
    <t xml:space="preserve">East India</t>
  </si>
  <si>
    <t xml:space="preserve">CUST0006</t>
  </si>
  <si>
    <t xml:space="preserve">JSW Infra 6</t>
  </si>
  <si>
    <t xml:space="preserve">Power Generation</t>
  </si>
  <si>
    <t xml:space="preserve">CUST0007</t>
  </si>
  <si>
    <t xml:space="preserve">NTPC Energy 7</t>
  </si>
  <si>
    <t xml:space="preserve">Infrastructure</t>
  </si>
  <si>
    <t xml:space="preserve">Platinum</t>
  </si>
  <si>
    <t xml:space="preserve">CUST0008</t>
  </si>
  <si>
    <t xml:space="preserve">Sembcorp Projects 8</t>
  </si>
  <si>
    <t xml:space="preserve">CUST0009</t>
  </si>
  <si>
    <t xml:space="preserve">Reliance Infra 9</t>
  </si>
  <si>
    <t xml:space="preserve">CUST0010</t>
  </si>
  <si>
    <t xml:space="preserve">GAIL Industries 10</t>
  </si>
  <si>
    <t xml:space="preserve">North India</t>
  </si>
  <si>
    <t xml:space="preserve">CUST0011</t>
  </si>
  <si>
    <t xml:space="preserve">Adani Projects 11</t>
  </si>
  <si>
    <t xml:space="preserve">CUST0012</t>
  </si>
  <si>
    <t xml:space="preserve">ONGC Industries 12</t>
  </si>
  <si>
    <t xml:space="preserve">CUST0013</t>
  </si>
  <si>
    <t xml:space="preserve">BPCL Infra 13</t>
  </si>
  <si>
    <t xml:space="preserve">CUST0014</t>
  </si>
  <si>
    <t xml:space="preserve">BPCL Energy 14</t>
  </si>
  <si>
    <t xml:space="preserve">CUST0015</t>
  </si>
  <si>
    <t xml:space="preserve">Petronas Infra 15</t>
  </si>
  <si>
    <t xml:space="preserve">CUST0016</t>
  </si>
  <si>
    <t xml:space="preserve">BPCL Infra 16</t>
  </si>
  <si>
    <t xml:space="preserve">CUST0017</t>
  </si>
  <si>
    <t xml:space="preserve">IOCL Infra 17</t>
  </si>
  <si>
    <t xml:space="preserve">CUST0018</t>
  </si>
  <si>
    <t xml:space="preserve">JSW Industries 18</t>
  </si>
  <si>
    <t xml:space="preserve">CUST0019</t>
  </si>
  <si>
    <t xml:space="preserve">Tata Refineries 19</t>
  </si>
  <si>
    <t xml:space="preserve">CUST0020</t>
  </si>
  <si>
    <t xml:space="preserve">ONGC Energy 20</t>
  </si>
  <si>
    <t xml:space="preserve">CUST0021</t>
  </si>
  <si>
    <t xml:space="preserve">BPCL Industries 21</t>
  </si>
  <si>
    <t xml:space="preserve">CUST0022</t>
  </si>
  <si>
    <t xml:space="preserve">Vedanta Infra 22</t>
  </si>
  <si>
    <t xml:space="preserve">CUST0023</t>
  </si>
  <si>
    <t xml:space="preserve">BPCL Refineries 23</t>
  </si>
  <si>
    <t xml:space="preserve">CUST0024</t>
  </si>
  <si>
    <t xml:space="preserve">Reliance Industries 24</t>
  </si>
  <si>
    <t xml:space="preserve">CUST0025</t>
  </si>
  <si>
    <t xml:space="preserve">NTPC Energy 25</t>
  </si>
  <si>
    <t xml:space="preserve">CUST0026</t>
  </si>
  <si>
    <t xml:space="preserve">BPCL Projects 26</t>
  </si>
  <si>
    <t xml:space="preserve">CUST0027</t>
  </si>
  <si>
    <t xml:space="preserve">JSW Power 27</t>
  </si>
  <si>
    <t xml:space="preserve">CUST0028</t>
  </si>
  <si>
    <t xml:space="preserve">NTPC Infra 28</t>
  </si>
  <si>
    <t xml:space="preserve">CUST0029</t>
  </si>
  <si>
    <t xml:space="preserve">NTPC Refineries 29</t>
  </si>
  <si>
    <t xml:space="preserve">CUST0030</t>
  </si>
  <si>
    <t xml:space="preserve">JSW Energy 30</t>
  </si>
  <si>
    <t xml:space="preserve">CUST0031</t>
  </si>
  <si>
    <t xml:space="preserve">IOCL Infra 31</t>
  </si>
  <si>
    <t xml:space="preserve">CUST0032</t>
  </si>
  <si>
    <t xml:space="preserve">ONGC Projects 32</t>
  </si>
  <si>
    <t xml:space="preserve">CUST0033</t>
  </si>
  <si>
    <t xml:space="preserve">JSW Industries 33</t>
  </si>
  <si>
    <t xml:space="preserve">CUST0034</t>
  </si>
  <si>
    <t xml:space="preserve">Tata Energy 34</t>
  </si>
  <si>
    <t xml:space="preserve">CUST0035</t>
  </si>
  <si>
    <t xml:space="preserve">Vedanta Infra 35</t>
  </si>
  <si>
    <t xml:space="preserve">CUST0036</t>
  </si>
  <si>
    <t xml:space="preserve">Sembcorp Refineries 36</t>
  </si>
  <si>
    <t xml:space="preserve">CUST0037</t>
  </si>
  <si>
    <t xml:space="preserve">JSW Power 37</t>
  </si>
  <si>
    <t xml:space="preserve">CUST0038</t>
  </si>
  <si>
    <t xml:space="preserve">Vedanta Power 38</t>
  </si>
  <si>
    <t xml:space="preserve">CUST0039</t>
  </si>
  <si>
    <t xml:space="preserve">JSW Energy 39</t>
  </si>
  <si>
    <t xml:space="preserve">CUST0040</t>
  </si>
  <si>
    <t xml:space="preserve">Petronas Industries 40</t>
  </si>
  <si>
    <t xml:space="preserve">CUST0041</t>
  </si>
  <si>
    <t xml:space="preserve">JSW Projects 41</t>
  </si>
  <si>
    <t xml:space="preserve">CUST0042</t>
  </si>
  <si>
    <t xml:space="preserve">JSW Power 42</t>
  </si>
  <si>
    <t xml:space="preserve">CUST0043</t>
  </si>
  <si>
    <t xml:space="preserve">Tata Infra 43</t>
  </si>
  <si>
    <t xml:space="preserve">CUST0044</t>
  </si>
  <si>
    <t xml:space="preserve">ONGC Refineries 44</t>
  </si>
  <si>
    <t xml:space="preserve">CUST0045</t>
  </si>
  <si>
    <t xml:space="preserve">Adani Refineries 45</t>
  </si>
  <si>
    <t xml:space="preserve">CUST0046</t>
  </si>
  <si>
    <t xml:space="preserve">JSW Projects 46</t>
  </si>
  <si>
    <t xml:space="preserve">CUST0047</t>
  </si>
  <si>
    <t xml:space="preserve">ONGC Projects 47</t>
  </si>
  <si>
    <t xml:space="preserve">CUST0048</t>
  </si>
  <si>
    <t xml:space="preserve">ONGC Infra 48</t>
  </si>
  <si>
    <t xml:space="preserve">CUST0049</t>
  </si>
  <si>
    <t xml:space="preserve">JSW Power 49</t>
  </si>
  <si>
    <t xml:space="preserve">CUST0050</t>
  </si>
  <si>
    <t xml:space="preserve">Reliance Industries 50</t>
  </si>
  <si>
    <t xml:space="preserve">CUST0051</t>
  </si>
  <si>
    <t xml:space="preserve">IOCL Projects 51</t>
  </si>
  <si>
    <t xml:space="preserve">CUST0052</t>
  </si>
  <si>
    <t xml:space="preserve">GAIL Power 52</t>
  </si>
  <si>
    <t xml:space="preserve">CUST0053</t>
  </si>
  <si>
    <t xml:space="preserve">BPCL Power 53</t>
  </si>
  <si>
    <t xml:space="preserve">CUST0054</t>
  </si>
  <si>
    <t xml:space="preserve">IOCL Industries 54</t>
  </si>
  <si>
    <t xml:space="preserve">CUST0055</t>
  </si>
  <si>
    <t xml:space="preserve">Adani Refineries 55</t>
  </si>
  <si>
    <t xml:space="preserve">CUST0056</t>
  </si>
  <si>
    <t xml:space="preserve">IOCL Infra 56</t>
  </si>
  <si>
    <t xml:space="preserve">CUST0057</t>
  </si>
  <si>
    <t xml:space="preserve">NTPC Refineries 57</t>
  </si>
  <si>
    <t xml:space="preserve">CUST0058</t>
  </si>
  <si>
    <t xml:space="preserve">Petronas Infra 58</t>
  </si>
  <si>
    <t xml:space="preserve">CUST0059</t>
  </si>
  <si>
    <t xml:space="preserve">Petronas Industries 59</t>
  </si>
  <si>
    <t xml:space="preserve">CUST0060</t>
  </si>
  <si>
    <t xml:space="preserve">ONGC Industries 60</t>
  </si>
  <si>
    <t xml:space="preserve">CUST0061</t>
  </si>
  <si>
    <t xml:space="preserve">NTPC Industries 61</t>
  </si>
  <si>
    <t xml:space="preserve">CUST0062</t>
  </si>
  <si>
    <t xml:space="preserve">Sembcorp Projects 62</t>
  </si>
  <si>
    <t xml:space="preserve">CUST0063</t>
  </si>
  <si>
    <t xml:space="preserve">IOCL Infra 63</t>
  </si>
  <si>
    <t xml:space="preserve">CUST0064</t>
  </si>
  <si>
    <t xml:space="preserve">IOCL Infra 64</t>
  </si>
  <si>
    <t xml:space="preserve">CUST0065</t>
  </si>
  <si>
    <t xml:space="preserve">Vedanta Refineries 65</t>
  </si>
  <si>
    <t xml:space="preserve">CUST0066</t>
  </si>
  <si>
    <t xml:space="preserve">Reliance Power 66</t>
  </si>
  <si>
    <t xml:space="preserve">CUST0067</t>
  </si>
  <si>
    <t xml:space="preserve">Adani Industries 67</t>
  </si>
  <si>
    <t xml:space="preserve">CUST0068</t>
  </si>
  <si>
    <t xml:space="preserve">ONGC Projects 68</t>
  </si>
  <si>
    <t xml:space="preserve">CUST0069</t>
  </si>
  <si>
    <t xml:space="preserve">JSW Industries 69</t>
  </si>
  <si>
    <t xml:space="preserve">CUST0070</t>
  </si>
  <si>
    <t xml:space="preserve">IOCL Power 70</t>
  </si>
  <si>
    <t xml:space="preserve">CUST0071</t>
  </si>
  <si>
    <t xml:space="preserve">GAIL Energy 71</t>
  </si>
  <si>
    <t xml:space="preserve">CUST0072</t>
  </si>
  <si>
    <t xml:space="preserve">NTPC Projects 72</t>
  </si>
  <si>
    <t xml:space="preserve">CUST0073</t>
  </si>
  <si>
    <t xml:space="preserve">BPCL Power 73</t>
  </si>
  <si>
    <t xml:space="preserve">CUST0074</t>
  </si>
  <si>
    <t xml:space="preserve">Vedanta Industries 74</t>
  </si>
  <si>
    <t xml:space="preserve">CUST0075</t>
  </si>
  <si>
    <t xml:space="preserve">Sembcorp Industries 75</t>
  </si>
  <si>
    <t xml:space="preserve">CUST0076</t>
  </si>
  <si>
    <t xml:space="preserve">ONGC Projects 76</t>
  </si>
  <si>
    <t xml:space="preserve">CUST0077</t>
  </si>
  <si>
    <t xml:space="preserve">Petronas Projects 77</t>
  </si>
  <si>
    <t xml:space="preserve">CUST0078</t>
  </si>
  <si>
    <t xml:space="preserve">ONGC Industries 78</t>
  </si>
  <si>
    <t xml:space="preserve">CUST0079</t>
  </si>
  <si>
    <t xml:space="preserve">BPCL Refineries 79</t>
  </si>
  <si>
    <t xml:space="preserve">CUST0080</t>
  </si>
  <si>
    <t xml:space="preserve">NTPC Projects 80</t>
  </si>
  <si>
    <t xml:space="preserve">CUST0081</t>
  </si>
  <si>
    <t xml:space="preserve">Reliance Infra 81</t>
  </si>
  <si>
    <t xml:space="preserve">CUST0082</t>
  </si>
  <si>
    <t xml:space="preserve">JSW Refineries 82</t>
  </si>
  <si>
    <t xml:space="preserve">CUST0083</t>
  </si>
  <si>
    <t xml:space="preserve">ONGC Energy 83</t>
  </si>
  <si>
    <t xml:space="preserve">CUST0084</t>
  </si>
  <si>
    <t xml:space="preserve">NTPC Refineries 84</t>
  </si>
  <si>
    <t xml:space="preserve">CUST0085</t>
  </si>
  <si>
    <t xml:space="preserve">NTPC Power 85</t>
  </si>
  <si>
    <t xml:space="preserve">CUST0086</t>
  </si>
  <si>
    <t xml:space="preserve">NTPC Industries 86</t>
  </si>
  <si>
    <t xml:space="preserve">CUST0087</t>
  </si>
  <si>
    <t xml:space="preserve">Reliance Industries 87</t>
  </si>
  <si>
    <t xml:space="preserve">CUST0088</t>
  </si>
  <si>
    <t xml:space="preserve">Adani Energy 88</t>
  </si>
  <si>
    <t xml:space="preserve">CUST0089</t>
  </si>
  <si>
    <t xml:space="preserve">Petronas Refineries 89</t>
  </si>
  <si>
    <t xml:space="preserve">CUST0090</t>
  </si>
  <si>
    <t xml:space="preserve">Adani Refineries 90</t>
  </si>
  <si>
    <t xml:space="preserve">CUST0091</t>
  </si>
  <si>
    <t xml:space="preserve">Adani Power 91</t>
  </si>
  <si>
    <t xml:space="preserve">CUST0092</t>
  </si>
  <si>
    <t xml:space="preserve">Adani Power 92</t>
  </si>
  <si>
    <t xml:space="preserve">CUST0093</t>
  </si>
  <si>
    <t xml:space="preserve">Reliance Industries 93</t>
  </si>
  <si>
    <t xml:space="preserve">CUST0094</t>
  </si>
  <si>
    <t xml:space="preserve">BPCL Energy 94</t>
  </si>
  <si>
    <t xml:space="preserve">CUST0095</t>
  </si>
  <si>
    <t xml:space="preserve">GAIL Energy 95</t>
  </si>
  <si>
    <t xml:space="preserve">CUST0096</t>
  </si>
  <si>
    <t xml:space="preserve">Sembcorp Energy 96</t>
  </si>
  <si>
    <t xml:space="preserve">CUST0097</t>
  </si>
  <si>
    <t xml:space="preserve">Sembcorp Refineries 97</t>
  </si>
  <si>
    <t xml:space="preserve">CUST0098</t>
  </si>
  <si>
    <t xml:space="preserve">BPCL Industries 98</t>
  </si>
  <si>
    <t xml:space="preserve">CUST0099</t>
  </si>
  <si>
    <t xml:space="preserve">IOCL Refineries 99</t>
  </si>
  <si>
    <t xml:space="preserve">CUST0100</t>
  </si>
  <si>
    <t xml:space="preserve">Vedanta Power 100</t>
  </si>
  <si>
    <t xml:space="preserve">Product_ID</t>
  </si>
  <si>
    <t xml:space="preserve">Product_Name</t>
  </si>
  <si>
    <t xml:space="preserve">Product_Category</t>
  </si>
  <si>
    <t xml:space="preserve">Base_Cost</t>
  </si>
  <si>
    <t xml:space="preserve">Standard_Price</t>
  </si>
  <si>
    <t xml:space="preserve">Installation_Cost</t>
  </si>
  <si>
    <t xml:space="preserve">Warranty_Cost</t>
  </si>
  <si>
    <t xml:space="preserve">Maintenance_Cost</t>
  </si>
  <si>
    <t xml:space="preserve">Logistics_Cost</t>
  </si>
  <si>
    <t xml:space="preserve">Minimum_Margin</t>
  </si>
  <si>
    <t xml:space="preserve">Maximum_Discount</t>
  </si>
  <si>
    <t xml:space="preserve">PROD001</t>
  </si>
  <si>
    <t xml:space="preserve">Industrial Pump</t>
  </si>
  <si>
    <t xml:space="preserve">Pumps</t>
  </si>
  <si>
    <t xml:space="preserve">PROD002</t>
  </si>
  <si>
    <t xml:space="preserve">Gas Compression Unit</t>
  </si>
  <si>
    <t xml:space="preserve">Gas Compression</t>
  </si>
  <si>
    <t xml:space="preserve">PROD003</t>
  </si>
  <si>
    <t xml:space="preserve">Turbomachinery Rotor</t>
  </si>
  <si>
    <t xml:space="preserve">Turbomachinery</t>
  </si>
  <si>
    <t xml:space="preserve">PROD004</t>
  </si>
  <si>
    <t xml:space="preserve">Turbomachinery Casing</t>
  </si>
  <si>
    <t xml:space="preserve">PROD005</t>
  </si>
  <si>
    <t xml:space="preserve">Industrial Control Valve</t>
  </si>
  <si>
    <t xml:space="preserve">Valves</t>
  </si>
  <si>
    <t xml:space="preserve">PROD006</t>
  </si>
  <si>
    <t xml:space="preserve">Safety Relief Valve</t>
  </si>
  <si>
    <t xml:space="preserve">PROD007</t>
  </si>
  <si>
    <t xml:space="preserve">Annual Maintenance Contract</t>
  </si>
  <si>
    <t xml:space="preserve">Maintenance Services</t>
  </si>
  <si>
    <t xml:space="preserve">PROD008</t>
  </si>
  <si>
    <t xml:space="preserve">Field Installation Package</t>
  </si>
  <si>
    <t xml:space="preserve">Installation Services</t>
  </si>
  <si>
    <t xml:space="preserve">PROD009</t>
  </si>
  <si>
    <t xml:space="preserve">Spare Parts Kit - Pump</t>
  </si>
  <si>
    <t xml:space="preserve">Spare Parts</t>
  </si>
  <si>
    <t xml:space="preserve">PROD010</t>
  </si>
  <si>
    <t xml:space="preserve">Spare Parts Kit - Compressor</t>
  </si>
  <si>
    <t xml:space="preserve">PROD011</t>
  </si>
  <si>
    <t xml:space="preserve">Industrial Pump Model 2</t>
  </si>
  <si>
    <t xml:space="preserve">PROD012</t>
  </si>
  <si>
    <t xml:space="preserve">Gas Compression Unit Model 2</t>
  </si>
  <si>
    <t xml:space="preserve">PROD013</t>
  </si>
  <si>
    <t xml:space="preserve">Turbomachinery Rotor Model 2</t>
  </si>
  <si>
    <t xml:space="preserve">PROD014</t>
  </si>
  <si>
    <t xml:space="preserve">Turbomachinery Casing Model 2</t>
  </si>
  <si>
    <t xml:space="preserve">PROD015</t>
  </si>
  <si>
    <t xml:space="preserve">Industrial Control Valve Model 2</t>
  </si>
  <si>
    <t xml:space="preserve">PROD016</t>
  </si>
  <si>
    <t xml:space="preserve">Safety Relief Valve Model 2</t>
  </si>
  <si>
    <t xml:space="preserve">PROD017</t>
  </si>
  <si>
    <t xml:space="preserve">Annual Maintenance Contract Model 2</t>
  </si>
  <si>
    <t xml:space="preserve">PROD018</t>
  </si>
  <si>
    <t xml:space="preserve">Field Installation Package Model 2</t>
  </si>
  <si>
    <t xml:space="preserve">PROD019</t>
  </si>
  <si>
    <t xml:space="preserve">Spare Parts Kit - Pump Model 2</t>
  </si>
  <si>
    <t xml:space="preserve">PROD020</t>
  </si>
  <si>
    <t xml:space="preserve">Spare Parts Kit - Compressor Model 2</t>
  </si>
  <si>
    <t xml:space="preserve">PROD021</t>
  </si>
  <si>
    <t xml:space="preserve">Industrial Pump Model 3</t>
  </si>
  <si>
    <t xml:space="preserve">PROD022</t>
  </si>
  <si>
    <t xml:space="preserve">Gas Compression Unit Model 3</t>
  </si>
  <si>
    <t xml:space="preserve">PROD023</t>
  </si>
  <si>
    <t xml:space="preserve">Turbomachinery Rotor Model 3</t>
  </si>
  <si>
    <t xml:space="preserve">PROD024</t>
  </si>
  <si>
    <t xml:space="preserve">Turbomachinery Casing Model 3</t>
  </si>
  <si>
    <t xml:space="preserve">PROD025</t>
  </si>
  <si>
    <t xml:space="preserve">Industrial Control Valve Model 3</t>
  </si>
  <si>
    <t xml:space="preserve">PROD026</t>
  </si>
  <si>
    <t xml:space="preserve">Safety Relief Valve Model 3</t>
  </si>
  <si>
    <t xml:space="preserve">PROD027</t>
  </si>
  <si>
    <t xml:space="preserve">Annual Maintenance Contract Model 3</t>
  </si>
  <si>
    <t xml:space="preserve">PROD028</t>
  </si>
  <si>
    <t xml:space="preserve">Field Installation Package Model 3</t>
  </si>
  <si>
    <t xml:space="preserve">PROD029</t>
  </si>
  <si>
    <t xml:space="preserve">Spare Parts Kit - Pump Model 3</t>
  </si>
  <si>
    <t xml:space="preserve">PROD030</t>
  </si>
  <si>
    <t xml:space="preserve">Spare Parts Kit - Compressor Model 3</t>
  </si>
  <si>
    <t xml:space="preserve">Deal_ID</t>
  </si>
  <si>
    <t xml:space="preserve">Deal_Value</t>
  </si>
  <si>
    <t xml:space="preserve">Discount_Percentage</t>
  </si>
  <si>
    <t xml:space="preserve">Final_Price</t>
  </si>
  <si>
    <t xml:space="preserve">Cost</t>
  </si>
  <si>
    <t xml:space="preserve">Gross_Profit</t>
  </si>
  <si>
    <t xml:space="preserve">Margin_Percentage</t>
  </si>
  <si>
    <t xml:space="preserve">Competitor_Price_Index</t>
  </si>
  <si>
    <t xml:space="preserve">Sales_Cycle_Days</t>
  </si>
  <si>
    <t xml:space="preserve">Payment_Terms_Days</t>
  </si>
  <si>
    <t xml:space="preserve">Delivery_Delay_Days</t>
  </si>
  <si>
    <t xml:space="preserve">Won</t>
  </si>
  <si>
    <t xml:space="preserve">DEAL00001</t>
  </si>
  <si>
    <t xml:space="preserve">DEAL00002</t>
  </si>
  <si>
    <t xml:space="preserve">DEAL00003</t>
  </si>
  <si>
    <t xml:space="preserve">DEAL00004</t>
  </si>
  <si>
    <t xml:space="preserve">DEAL00005</t>
  </si>
  <si>
    <t xml:space="preserve">DEAL00006</t>
  </si>
  <si>
    <t xml:space="preserve">DEAL00007</t>
  </si>
  <si>
    <t xml:space="preserve">DEAL00008</t>
  </si>
  <si>
    <t xml:space="preserve">DEAL00009</t>
  </si>
  <si>
    <t xml:space="preserve">DEAL00010</t>
  </si>
  <si>
    <t xml:space="preserve">DEAL00011</t>
  </si>
  <si>
    <t xml:space="preserve">DEAL00012</t>
  </si>
  <si>
    <t xml:space="preserve">DEAL00013</t>
  </si>
  <si>
    <t xml:space="preserve">DEAL00014</t>
  </si>
  <si>
    <t xml:space="preserve">DEAL00015</t>
  </si>
  <si>
    <t xml:space="preserve">DEAL00016</t>
  </si>
  <si>
    <t xml:space="preserve">DEAL00017</t>
  </si>
  <si>
    <t xml:space="preserve">DEAL00018</t>
  </si>
  <si>
    <t xml:space="preserve">DEAL00019</t>
  </si>
  <si>
    <t xml:space="preserve">DEAL00020</t>
  </si>
  <si>
    <t xml:space="preserve">DEAL00021</t>
  </si>
  <si>
    <t xml:space="preserve">DEAL00022</t>
  </si>
  <si>
    <t xml:space="preserve">DEAL00023</t>
  </si>
  <si>
    <t xml:space="preserve">DEAL00024</t>
  </si>
  <si>
    <t xml:space="preserve">DEAL00025</t>
  </si>
  <si>
    <t xml:space="preserve">DEAL00026</t>
  </si>
  <si>
    <t xml:space="preserve">DEAL00027</t>
  </si>
  <si>
    <t xml:space="preserve">DEAL00028</t>
  </si>
  <si>
    <t xml:space="preserve">DEAL00029</t>
  </si>
  <si>
    <t xml:space="preserve">DEAL00030</t>
  </si>
  <si>
    <t xml:space="preserve">DEAL00031</t>
  </si>
  <si>
    <t xml:space="preserve">DEAL00032</t>
  </si>
  <si>
    <t xml:space="preserve">DEAL00033</t>
  </si>
  <si>
    <t xml:space="preserve">DEAL00034</t>
  </si>
  <si>
    <t xml:space="preserve">DEAL00035</t>
  </si>
  <si>
    <t xml:space="preserve">DEAL00036</t>
  </si>
  <si>
    <t xml:space="preserve">DEAL00037</t>
  </si>
  <si>
    <t xml:space="preserve">DEAL00038</t>
  </si>
  <si>
    <t xml:space="preserve">DEAL00039</t>
  </si>
  <si>
    <t xml:space="preserve">DEAL00040</t>
  </si>
  <si>
    <t xml:space="preserve">DEAL00041</t>
  </si>
  <si>
    <t xml:space="preserve">DEAL00042</t>
  </si>
  <si>
    <t xml:space="preserve">DEAL00043</t>
  </si>
  <si>
    <t xml:space="preserve">DEAL00044</t>
  </si>
  <si>
    <t xml:space="preserve">DEAL00045</t>
  </si>
  <si>
    <t xml:space="preserve">DEAL00046</t>
  </si>
  <si>
    <t xml:space="preserve">DEAL00047</t>
  </si>
  <si>
    <t xml:space="preserve">DEAL00048</t>
  </si>
  <si>
    <t xml:space="preserve">DEAL00049</t>
  </si>
  <si>
    <t xml:space="preserve">DEAL00050</t>
  </si>
  <si>
    <t xml:space="preserve">DEAL00051</t>
  </si>
  <si>
    <t xml:space="preserve">DEAL00052</t>
  </si>
  <si>
    <t xml:space="preserve">DEAL00053</t>
  </si>
  <si>
    <t xml:space="preserve">DEAL00054</t>
  </si>
  <si>
    <t xml:space="preserve">DEAL00055</t>
  </si>
  <si>
    <t xml:space="preserve">DEAL00056</t>
  </si>
  <si>
    <t xml:space="preserve">DEAL00057</t>
  </si>
  <si>
    <t xml:space="preserve">DEAL00058</t>
  </si>
  <si>
    <t xml:space="preserve">DEAL00059</t>
  </si>
  <si>
    <t xml:space="preserve">DEAL00060</t>
  </si>
  <si>
    <t xml:space="preserve">DEAL00061</t>
  </si>
  <si>
    <t xml:space="preserve">DEAL00062</t>
  </si>
  <si>
    <t xml:space="preserve">DEAL00063</t>
  </si>
  <si>
    <t xml:space="preserve">DEAL00064</t>
  </si>
  <si>
    <t xml:space="preserve">DEAL00065</t>
  </si>
  <si>
    <t xml:space="preserve">DEAL00066</t>
  </si>
  <si>
    <t xml:space="preserve">DEAL00067</t>
  </si>
  <si>
    <t xml:space="preserve">DEAL00068</t>
  </si>
  <si>
    <t xml:space="preserve">DEAL00069</t>
  </si>
  <si>
    <t xml:space="preserve">DEAL00070</t>
  </si>
  <si>
    <t xml:space="preserve">DEAL00071</t>
  </si>
  <si>
    <t xml:space="preserve">DEAL00072</t>
  </si>
  <si>
    <t xml:space="preserve">DEAL00073</t>
  </si>
  <si>
    <t xml:space="preserve">DEAL00074</t>
  </si>
  <si>
    <t xml:space="preserve">DEAL00075</t>
  </si>
  <si>
    <t xml:space="preserve">DEAL00076</t>
  </si>
  <si>
    <t xml:space="preserve">DEAL00077</t>
  </si>
  <si>
    <t xml:space="preserve">DEAL00078</t>
  </si>
  <si>
    <t xml:space="preserve">DEAL00079</t>
  </si>
  <si>
    <t xml:space="preserve">DEAL00080</t>
  </si>
  <si>
    <t xml:space="preserve">DEAL00081</t>
  </si>
  <si>
    <t xml:space="preserve">DEAL00082</t>
  </si>
  <si>
    <t xml:space="preserve">DEAL00083</t>
  </si>
  <si>
    <t xml:space="preserve">DEAL00084</t>
  </si>
  <si>
    <t xml:space="preserve">DEAL00085</t>
  </si>
  <si>
    <t xml:space="preserve">DEAL00086</t>
  </si>
  <si>
    <t xml:space="preserve">DEAL00087</t>
  </si>
  <si>
    <t xml:space="preserve">DEAL00088</t>
  </si>
  <si>
    <t xml:space="preserve">DEAL00089</t>
  </si>
  <si>
    <t xml:space="preserve">DEAL00090</t>
  </si>
  <si>
    <t xml:space="preserve">DEAL00091</t>
  </si>
  <si>
    <t xml:space="preserve">DEAL00092</t>
  </si>
  <si>
    <t xml:space="preserve">DEAL00093</t>
  </si>
  <si>
    <t xml:space="preserve">DEAL00094</t>
  </si>
  <si>
    <t xml:space="preserve">DEAL00095</t>
  </si>
  <si>
    <t xml:space="preserve">DEAL00096</t>
  </si>
  <si>
    <t xml:space="preserve">DEAL00097</t>
  </si>
  <si>
    <t xml:space="preserve">DEAL00098</t>
  </si>
  <si>
    <t xml:space="preserve">DEAL00099</t>
  </si>
  <si>
    <t xml:space="preserve">DEAL00100</t>
  </si>
  <si>
    <t xml:space="preserve">DEAL00101</t>
  </si>
  <si>
    <t xml:space="preserve">DEAL00102</t>
  </si>
  <si>
    <t xml:space="preserve">DEAL00103</t>
  </si>
  <si>
    <t xml:space="preserve">DEAL00104</t>
  </si>
  <si>
    <t xml:space="preserve">DEAL00105</t>
  </si>
  <si>
    <t xml:space="preserve">DEAL00106</t>
  </si>
  <si>
    <t xml:space="preserve">DEAL00107</t>
  </si>
  <si>
    <t xml:space="preserve">DEAL00108</t>
  </si>
  <si>
    <t xml:space="preserve">DEAL00109</t>
  </si>
  <si>
    <t xml:space="preserve">DEAL00110</t>
  </si>
  <si>
    <t xml:space="preserve">DEAL00111</t>
  </si>
  <si>
    <t xml:space="preserve">DEAL00112</t>
  </si>
  <si>
    <t xml:space="preserve">DEAL00113</t>
  </si>
  <si>
    <t xml:space="preserve">DEAL00114</t>
  </si>
  <si>
    <t xml:space="preserve">DEAL00115</t>
  </si>
  <si>
    <t xml:space="preserve">DEAL00116</t>
  </si>
  <si>
    <t xml:space="preserve">DEAL00117</t>
  </si>
  <si>
    <t xml:space="preserve">DEAL00118</t>
  </si>
  <si>
    <t xml:space="preserve">DEAL00119</t>
  </si>
  <si>
    <t xml:space="preserve">DEAL00120</t>
  </si>
  <si>
    <t xml:space="preserve">DEAL00121</t>
  </si>
  <si>
    <t xml:space="preserve">DEAL00122</t>
  </si>
  <si>
    <t xml:space="preserve">DEAL00123</t>
  </si>
  <si>
    <t xml:space="preserve">DEAL00124</t>
  </si>
  <si>
    <t xml:space="preserve">DEAL00125</t>
  </si>
  <si>
    <t xml:space="preserve">DEAL00126</t>
  </si>
  <si>
    <t xml:space="preserve">DEAL00127</t>
  </si>
  <si>
    <t xml:space="preserve">DEAL00128</t>
  </si>
  <si>
    <t xml:space="preserve">DEAL00129</t>
  </si>
  <si>
    <t xml:space="preserve">DEAL00130</t>
  </si>
  <si>
    <t xml:space="preserve">DEAL00131</t>
  </si>
  <si>
    <t xml:space="preserve">DEAL00132</t>
  </si>
  <si>
    <t xml:space="preserve">DEAL00133</t>
  </si>
  <si>
    <t xml:space="preserve">DEAL00134</t>
  </si>
  <si>
    <t xml:space="preserve">DEAL00135</t>
  </si>
  <si>
    <t xml:space="preserve">DEAL00136</t>
  </si>
  <si>
    <t xml:space="preserve">DEAL00137</t>
  </si>
  <si>
    <t xml:space="preserve">DEAL00138</t>
  </si>
  <si>
    <t xml:space="preserve">DEAL00139</t>
  </si>
  <si>
    <t xml:space="preserve">DEAL00140</t>
  </si>
  <si>
    <t xml:space="preserve">DEAL00141</t>
  </si>
  <si>
    <t xml:space="preserve">DEAL00142</t>
  </si>
  <si>
    <t xml:space="preserve">DEAL00143</t>
  </si>
  <si>
    <t xml:space="preserve">DEAL00144</t>
  </si>
  <si>
    <t xml:space="preserve">DEAL00145</t>
  </si>
  <si>
    <t xml:space="preserve">DEAL00146</t>
  </si>
  <si>
    <t xml:space="preserve">DEAL00147</t>
  </si>
  <si>
    <t xml:space="preserve">DEAL00148</t>
  </si>
  <si>
    <t xml:space="preserve">DEAL00149</t>
  </si>
  <si>
    <t xml:space="preserve">DEAL00150</t>
  </si>
  <si>
    <t xml:space="preserve">DEAL00151</t>
  </si>
  <si>
    <t xml:space="preserve">DEAL00152</t>
  </si>
  <si>
    <t xml:space="preserve">DEAL00153</t>
  </si>
  <si>
    <t xml:space="preserve">DEAL00154</t>
  </si>
  <si>
    <t xml:space="preserve">DEAL00155</t>
  </si>
  <si>
    <t xml:space="preserve">DEAL00156</t>
  </si>
  <si>
    <t xml:space="preserve">DEAL00157</t>
  </si>
  <si>
    <t xml:space="preserve">DEAL00158</t>
  </si>
  <si>
    <t xml:space="preserve">DEAL00159</t>
  </si>
  <si>
    <t xml:space="preserve">DEAL00160</t>
  </si>
  <si>
    <t xml:space="preserve">DEAL00161</t>
  </si>
  <si>
    <t xml:space="preserve">DEAL00162</t>
  </si>
  <si>
    <t xml:space="preserve">DEAL00163</t>
  </si>
  <si>
    <t xml:space="preserve">DEAL00164</t>
  </si>
  <si>
    <t xml:space="preserve">DEAL00165</t>
  </si>
  <si>
    <t xml:space="preserve">DEAL00166</t>
  </si>
  <si>
    <t xml:space="preserve">DEAL00167</t>
  </si>
  <si>
    <t xml:space="preserve">DEAL00168</t>
  </si>
  <si>
    <t xml:space="preserve">DEAL00169</t>
  </si>
  <si>
    <t xml:space="preserve">DEAL00170</t>
  </si>
  <si>
    <t xml:space="preserve">DEAL00171</t>
  </si>
  <si>
    <t xml:space="preserve">DEAL00172</t>
  </si>
  <si>
    <t xml:space="preserve">DEAL00173</t>
  </si>
  <si>
    <t xml:space="preserve">DEAL00174</t>
  </si>
  <si>
    <t xml:space="preserve">DEAL00175</t>
  </si>
  <si>
    <t xml:space="preserve">DEAL00176</t>
  </si>
  <si>
    <t xml:space="preserve">DEAL00177</t>
  </si>
  <si>
    <t xml:space="preserve">DEAL00178</t>
  </si>
  <si>
    <t xml:space="preserve">DEAL00179</t>
  </si>
  <si>
    <t xml:space="preserve">DEAL00180</t>
  </si>
  <si>
    <t xml:space="preserve">DEAL00181</t>
  </si>
  <si>
    <t xml:space="preserve">DEAL00182</t>
  </si>
  <si>
    <t xml:space="preserve">DEAL00183</t>
  </si>
  <si>
    <t xml:space="preserve">DEAL00184</t>
  </si>
  <si>
    <t xml:space="preserve">DEAL00185</t>
  </si>
  <si>
    <t xml:space="preserve">DEAL00186</t>
  </si>
  <si>
    <t xml:space="preserve">DEAL00187</t>
  </si>
  <si>
    <t xml:space="preserve">DEAL00188</t>
  </si>
  <si>
    <t xml:space="preserve">DEAL00189</t>
  </si>
  <si>
    <t xml:space="preserve">DEAL00190</t>
  </si>
  <si>
    <t xml:space="preserve">DEAL00191</t>
  </si>
  <si>
    <t xml:space="preserve">DEAL00192</t>
  </si>
  <si>
    <t xml:space="preserve">DEAL00193</t>
  </si>
  <si>
    <t xml:space="preserve">DEAL00194</t>
  </si>
  <si>
    <t xml:space="preserve">DEAL00195</t>
  </si>
  <si>
    <t xml:space="preserve">DEAL00196</t>
  </si>
  <si>
    <t xml:space="preserve">DEAL00197</t>
  </si>
  <si>
    <t xml:space="preserve">DEAL00198</t>
  </si>
  <si>
    <t xml:space="preserve">DEAL00199</t>
  </si>
  <si>
    <t xml:space="preserve">DEAL00200</t>
  </si>
  <si>
    <t xml:space="preserve">DEAL00201</t>
  </si>
  <si>
    <t xml:space="preserve">DEAL00202</t>
  </si>
  <si>
    <t xml:space="preserve">DEAL00203</t>
  </si>
  <si>
    <t xml:space="preserve">DEAL00204</t>
  </si>
  <si>
    <t xml:space="preserve">DEAL00205</t>
  </si>
  <si>
    <t xml:space="preserve">DEAL00206</t>
  </si>
  <si>
    <t xml:space="preserve">DEAL00207</t>
  </si>
  <si>
    <t xml:space="preserve">DEAL00208</t>
  </si>
  <si>
    <t xml:space="preserve">DEAL00209</t>
  </si>
  <si>
    <t xml:space="preserve">DEAL00210</t>
  </si>
  <si>
    <t xml:space="preserve">DEAL00211</t>
  </si>
  <si>
    <t xml:space="preserve">DEAL00212</t>
  </si>
  <si>
    <t xml:space="preserve">DEAL00213</t>
  </si>
  <si>
    <t xml:space="preserve">DEAL00214</t>
  </si>
  <si>
    <t xml:space="preserve">DEAL00215</t>
  </si>
  <si>
    <t xml:space="preserve">DEAL00216</t>
  </si>
  <si>
    <t xml:space="preserve">DEAL00217</t>
  </si>
  <si>
    <t xml:space="preserve">DEAL00218</t>
  </si>
  <si>
    <t xml:space="preserve">DEAL00219</t>
  </si>
  <si>
    <t xml:space="preserve">DEAL00220</t>
  </si>
  <si>
    <t xml:space="preserve">DEAL00221</t>
  </si>
  <si>
    <t xml:space="preserve">DEAL00222</t>
  </si>
  <si>
    <t xml:space="preserve">DEAL00223</t>
  </si>
  <si>
    <t xml:space="preserve">DEAL00224</t>
  </si>
  <si>
    <t xml:space="preserve">DEAL00225</t>
  </si>
  <si>
    <t xml:space="preserve">DEAL00226</t>
  </si>
  <si>
    <t xml:space="preserve">DEAL00227</t>
  </si>
  <si>
    <t xml:space="preserve">DEAL00228</t>
  </si>
  <si>
    <t xml:space="preserve">DEAL00229</t>
  </si>
  <si>
    <t xml:space="preserve">DEAL00230</t>
  </si>
  <si>
    <t xml:space="preserve">DEAL00231</t>
  </si>
  <si>
    <t xml:space="preserve">DEAL00232</t>
  </si>
  <si>
    <t xml:space="preserve">DEAL00233</t>
  </si>
  <si>
    <t xml:space="preserve">DEAL00234</t>
  </si>
  <si>
    <t xml:space="preserve">DEAL00235</t>
  </si>
  <si>
    <t xml:space="preserve">DEAL00236</t>
  </si>
  <si>
    <t xml:space="preserve">DEAL00237</t>
  </si>
  <si>
    <t xml:space="preserve">DEAL00238</t>
  </si>
  <si>
    <t xml:space="preserve">DEAL00239</t>
  </si>
  <si>
    <t xml:space="preserve">DEAL00240</t>
  </si>
  <si>
    <t xml:space="preserve">DEAL00241</t>
  </si>
  <si>
    <t xml:space="preserve">DEAL00242</t>
  </si>
  <si>
    <t xml:space="preserve">DEAL00243</t>
  </si>
  <si>
    <t xml:space="preserve">DEAL00244</t>
  </si>
  <si>
    <t xml:space="preserve">DEAL00245</t>
  </si>
  <si>
    <t xml:space="preserve">DEAL00246</t>
  </si>
  <si>
    <t xml:space="preserve">DEAL00247</t>
  </si>
  <si>
    <t xml:space="preserve">DEAL00248</t>
  </si>
  <si>
    <t xml:space="preserve">DEAL00249</t>
  </si>
  <si>
    <t xml:space="preserve">DEAL00250</t>
  </si>
  <si>
    <t xml:space="preserve">DEAL00251</t>
  </si>
  <si>
    <t xml:space="preserve">DEAL00252</t>
  </si>
  <si>
    <t xml:space="preserve">DEAL00253</t>
  </si>
  <si>
    <t xml:space="preserve">DEAL00254</t>
  </si>
  <si>
    <t xml:space="preserve">DEAL00255</t>
  </si>
  <si>
    <t xml:space="preserve">DEAL00256</t>
  </si>
  <si>
    <t xml:space="preserve">DEAL00257</t>
  </si>
  <si>
    <t xml:space="preserve">DEAL00258</t>
  </si>
  <si>
    <t xml:space="preserve">DEAL00259</t>
  </si>
  <si>
    <t xml:space="preserve">DEAL00260</t>
  </si>
  <si>
    <t xml:space="preserve">DEAL00261</t>
  </si>
  <si>
    <t xml:space="preserve">DEAL00262</t>
  </si>
  <si>
    <t xml:space="preserve">DEAL00263</t>
  </si>
  <si>
    <t xml:space="preserve">DEAL00264</t>
  </si>
  <si>
    <t xml:space="preserve">DEAL00265</t>
  </si>
  <si>
    <t xml:space="preserve">DEAL00266</t>
  </si>
  <si>
    <t xml:space="preserve">DEAL00267</t>
  </si>
  <si>
    <t xml:space="preserve">DEAL00268</t>
  </si>
  <si>
    <t xml:space="preserve">DEAL00269</t>
  </si>
  <si>
    <t xml:space="preserve">DEAL00270</t>
  </si>
  <si>
    <t xml:space="preserve">DEAL00271</t>
  </si>
  <si>
    <t xml:space="preserve">DEAL00272</t>
  </si>
  <si>
    <t xml:space="preserve">DEAL00273</t>
  </si>
  <si>
    <t xml:space="preserve">DEAL00274</t>
  </si>
  <si>
    <t xml:space="preserve">DEAL00275</t>
  </si>
  <si>
    <t xml:space="preserve">DEAL00276</t>
  </si>
  <si>
    <t xml:space="preserve">DEAL00277</t>
  </si>
  <si>
    <t xml:space="preserve">DEAL00278</t>
  </si>
  <si>
    <t xml:space="preserve">DEAL00279</t>
  </si>
  <si>
    <t xml:space="preserve">DEAL00280</t>
  </si>
  <si>
    <t xml:space="preserve">DEAL00281</t>
  </si>
  <si>
    <t xml:space="preserve">DEAL00282</t>
  </si>
  <si>
    <t xml:space="preserve">DEAL00283</t>
  </si>
  <si>
    <t xml:space="preserve">DEAL00284</t>
  </si>
  <si>
    <t xml:space="preserve">DEAL00285</t>
  </si>
  <si>
    <t xml:space="preserve">DEAL00286</t>
  </si>
  <si>
    <t xml:space="preserve">DEAL00287</t>
  </si>
  <si>
    <t xml:space="preserve">DEAL00288</t>
  </si>
  <si>
    <t xml:space="preserve">DEAL00289</t>
  </si>
  <si>
    <t xml:space="preserve">DEAL00290</t>
  </si>
  <si>
    <t xml:space="preserve">DEAL00291</t>
  </si>
  <si>
    <t xml:space="preserve">DEAL00292</t>
  </si>
  <si>
    <t xml:space="preserve">DEAL00293</t>
  </si>
  <si>
    <t xml:space="preserve">DEAL00294</t>
  </si>
  <si>
    <t xml:space="preserve">DEAL00295</t>
  </si>
  <si>
    <t xml:space="preserve">DEAL00296</t>
  </si>
  <si>
    <t xml:space="preserve">DEAL00297</t>
  </si>
  <si>
    <t xml:space="preserve">DEAL00298</t>
  </si>
  <si>
    <t xml:space="preserve">DEAL00299</t>
  </si>
  <si>
    <t xml:space="preserve">DEAL00300</t>
  </si>
  <si>
    <t xml:space="preserve">DEAL00301</t>
  </si>
  <si>
    <t xml:space="preserve">DEAL00302</t>
  </si>
  <si>
    <t xml:space="preserve">DEAL00303</t>
  </si>
  <si>
    <t xml:space="preserve">DEAL00304</t>
  </si>
  <si>
    <t xml:space="preserve">DEAL00305</t>
  </si>
  <si>
    <t xml:space="preserve">DEAL00306</t>
  </si>
  <si>
    <t xml:space="preserve">DEAL00307</t>
  </si>
  <si>
    <t xml:space="preserve">DEAL00308</t>
  </si>
  <si>
    <t xml:space="preserve">DEAL00309</t>
  </si>
  <si>
    <t xml:space="preserve">DEAL00310</t>
  </si>
  <si>
    <t xml:space="preserve">DEAL00311</t>
  </si>
  <si>
    <t xml:space="preserve">DEAL00312</t>
  </si>
  <si>
    <t xml:space="preserve">DEAL00313</t>
  </si>
  <si>
    <t xml:space="preserve">DEAL00314</t>
  </si>
  <si>
    <t xml:space="preserve">DEAL00315</t>
  </si>
  <si>
    <t xml:space="preserve">DEAL00316</t>
  </si>
  <si>
    <t xml:space="preserve">DEAL00317</t>
  </si>
  <si>
    <t xml:space="preserve">DEAL00318</t>
  </si>
  <si>
    <t xml:space="preserve">DEAL00319</t>
  </si>
  <si>
    <t xml:space="preserve">DEAL00320</t>
  </si>
  <si>
    <t xml:space="preserve">DEAL00321</t>
  </si>
  <si>
    <t xml:space="preserve">DEAL00322</t>
  </si>
  <si>
    <t xml:space="preserve">DEAL00323</t>
  </si>
  <si>
    <t xml:space="preserve">DEAL00324</t>
  </si>
  <si>
    <t xml:space="preserve">DEAL00325</t>
  </si>
  <si>
    <t xml:space="preserve">DEAL00326</t>
  </si>
  <si>
    <t xml:space="preserve">DEAL00327</t>
  </si>
  <si>
    <t xml:space="preserve">DEAL00328</t>
  </si>
  <si>
    <t xml:space="preserve">DEAL00329</t>
  </si>
  <si>
    <t xml:space="preserve">DEAL00330</t>
  </si>
  <si>
    <t xml:space="preserve">DEAL00331</t>
  </si>
  <si>
    <t xml:space="preserve">DEAL00332</t>
  </si>
  <si>
    <t xml:space="preserve">DEAL00333</t>
  </si>
  <si>
    <t xml:space="preserve">DEAL00334</t>
  </si>
  <si>
    <t xml:space="preserve">DEAL00335</t>
  </si>
  <si>
    <t xml:space="preserve">DEAL00336</t>
  </si>
  <si>
    <t xml:space="preserve">DEAL00337</t>
  </si>
  <si>
    <t xml:space="preserve">DEAL00338</t>
  </si>
  <si>
    <t xml:space="preserve">DEAL00339</t>
  </si>
  <si>
    <t xml:space="preserve">DEAL00340</t>
  </si>
  <si>
    <t xml:space="preserve">DEAL00341</t>
  </si>
  <si>
    <t xml:space="preserve">DEAL00342</t>
  </si>
  <si>
    <t xml:space="preserve">DEAL00343</t>
  </si>
  <si>
    <t xml:space="preserve">DEAL00344</t>
  </si>
  <si>
    <t xml:space="preserve">DEAL00345</t>
  </si>
  <si>
    <t xml:space="preserve">DEAL00346</t>
  </si>
  <si>
    <t xml:space="preserve">DEAL00347</t>
  </si>
  <si>
    <t xml:space="preserve">DEAL00348</t>
  </si>
  <si>
    <t xml:space="preserve">DEAL00349</t>
  </si>
  <si>
    <t xml:space="preserve">DEAL00350</t>
  </si>
  <si>
    <t xml:space="preserve">DEAL00351</t>
  </si>
  <si>
    <t xml:space="preserve">DEAL00352</t>
  </si>
  <si>
    <t xml:space="preserve">DEAL00353</t>
  </si>
  <si>
    <t xml:space="preserve">DEAL00354</t>
  </si>
  <si>
    <t xml:space="preserve">DEAL00355</t>
  </si>
  <si>
    <t xml:space="preserve">DEAL00356</t>
  </si>
  <si>
    <t xml:space="preserve">DEAL00357</t>
  </si>
  <si>
    <t xml:space="preserve">DEAL00358</t>
  </si>
  <si>
    <t xml:space="preserve">DEAL00359</t>
  </si>
  <si>
    <t xml:space="preserve">DEAL00360</t>
  </si>
  <si>
    <t xml:space="preserve">DEAL00361</t>
  </si>
  <si>
    <t xml:space="preserve">DEAL00362</t>
  </si>
  <si>
    <t xml:space="preserve">DEAL00363</t>
  </si>
  <si>
    <t xml:space="preserve">DEAL00364</t>
  </si>
  <si>
    <t xml:space="preserve">DEAL00365</t>
  </si>
  <si>
    <t xml:space="preserve">DEAL00366</t>
  </si>
  <si>
    <t xml:space="preserve">DEAL00367</t>
  </si>
  <si>
    <t xml:space="preserve">DEAL00368</t>
  </si>
  <si>
    <t xml:space="preserve">DEAL00369</t>
  </si>
  <si>
    <t xml:space="preserve">DEAL00370</t>
  </si>
  <si>
    <t xml:space="preserve">DEAL00371</t>
  </si>
  <si>
    <t xml:space="preserve">DEAL00372</t>
  </si>
  <si>
    <t xml:space="preserve">DEAL00373</t>
  </si>
  <si>
    <t xml:space="preserve">DEAL00374</t>
  </si>
  <si>
    <t xml:space="preserve">DEAL00375</t>
  </si>
  <si>
    <t xml:space="preserve">DEAL00376</t>
  </si>
  <si>
    <t xml:space="preserve">DEAL00377</t>
  </si>
  <si>
    <t xml:space="preserve">DEAL00378</t>
  </si>
  <si>
    <t xml:space="preserve">DEAL00379</t>
  </si>
  <si>
    <t xml:space="preserve">DEAL00380</t>
  </si>
  <si>
    <t xml:space="preserve">DEAL00381</t>
  </si>
  <si>
    <t xml:space="preserve">DEAL00382</t>
  </si>
  <si>
    <t xml:space="preserve">DEAL00383</t>
  </si>
  <si>
    <t xml:space="preserve">DEAL00384</t>
  </si>
  <si>
    <t xml:space="preserve">DEAL00385</t>
  </si>
  <si>
    <t xml:space="preserve">DEAL00386</t>
  </si>
  <si>
    <t xml:space="preserve">DEAL00387</t>
  </si>
  <si>
    <t xml:space="preserve">DEAL00388</t>
  </si>
  <si>
    <t xml:space="preserve">DEAL00389</t>
  </si>
  <si>
    <t xml:space="preserve">DEAL00390</t>
  </si>
  <si>
    <t xml:space="preserve">DEAL00391</t>
  </si>
  <si>
    <t xml:space="preserve">DEAL00392</t>
  </si>
  <si>
    <t xml:space="preserve">DEAL00393</t>
  </si>
  <si>
    <t xml:space="preserve">DEAL00394</t>
  </si>
  <si>
    <t xml:space="preserve">DEAL00395</t>
  </si>
  <si>
    <t xml:space="preserve">DEAL00396</t>
  </si>
  <si>
    <t xml:space="preserve">DEAL00397</t>
  </si>
  <si>
    <t xml:space="preserve">DEAL00398</t>
  </si>
  <si>
    <t xml:space="preserve">DEAL00399</t>
  </si>
  <si>
    <t xml:space="preserve">DEAL00400</t>
  </si>
  <si>
    <t xml:space="preserve">DEAL00401</t>
  </si>
  <si>
    <t xml:space="preserve">DEAL00402</t>
  </si>
  <si>
    <t xml:space="preserve">DEAL00403</t>
  </si>
  <si>
    <t xml:space="preserve">DEAL00404</t>
  </si>
  <si>
    <t xml:space="preserve">DEAL00405</t>
  </si>
  <si>
    <t xml:space="preserve">DEAL00406</t>
  </si>
  <si>
    <t xml:space="preserve">DEAL00407</t>
  </si>
  <si>
    <t xml:space="preserve">DEAL00408</t>
  </si>
  <si>
    <t xml:space="preserve">DEAL00409</t>
  </si>
  <si>
    <t xml:space="preserve">DEAL00410</t>
  </si>
  <si>
    <t xml:space="preserve">DEAL00411</t>
  </si>
  <si>
    <t xml:space="preserve">DEAL00412</t>
  </si>
  <si>
    <t xml:space="preserve">DEAL00413</t>
  </si>
  <si>
    <t xml:space="preserve">DEAL00414</t>
  </si>
  <si>
    <t xml:space="preserve">DEAL00415</t>
  </si>
  <si>
    <t xml:space="preserve">DEAL00416</t>
  </si>
  <si>
    <t xml:space="preserve">DEAL00417</t>
  </si>
  <si>
    <t xml:space="preserve">DEAL00418</t>
  </si>
  <si>
    <t xml:space="preserve">DEAL00419</t>
  </si>
  <si>
    <t xml:space="preserve">DEAL00420</t>
  </si>
  <si>
    <t xml:space="preserve">DEAL00421</t>
  </si>
  <si>
    <t xml:space="preserve">DEAL00422</t>
  </si>
  <si>
    <t xml:space="preserve">DEAL00423</t>
  </si>
  <si>
    <t xml:space="preserve">DEAL00424</t>
  </si>
  <si>
    <t xml:space="preserve">DEAL00425</t>
  </si>
  <si>
    <t xml:space="preserve">DEAL00426</t>
  </si>
  <si>
    <t xml:space="preserve">DEAL00427</t>
  </si>
  <si>
    <t xml:space="preserve">DEAL00428</t>
  </si>
  <si>
    <t xml:space="preserve">DEAL00429</t>
  </si>
  <si>
    <t xml:space="preserve">DEAL00430</t>
  </si>
  <si>
    <t xml:space="preserve">DEAL00431</t>
  </si>
  <si>
    <t xml:space="preserve">DEAL00432</t>
  </si>
  <si>
    <t xml:space="preserve">DEAL00433</t>
  </si>
  <si>
    <t xml:space="preserve">DEAL00434</t>
  </si>
  <si>
    <t xml:space="preserve">DEAL00435</t>
  </si>
  <si>
    <t xml:space="preserve">DEAL00436</t>
  </si>
  <si>
    <t xml:space="preserve">DEAL00437</t>
  </si>
  <si>
    <t xml:space="preserve">DEAL00438</t>
  </si>
  <si>
    <t xml:space="preserve">DEAL00439</t>
  </si>
  <si>
    <t xml:space="preserve">DEAL00440</t>
  </si>
  <si>
    <t xml:space="preserve">DEAL00441</t>
  </si>
  <si>
    <t xml:space="preserve">DEAL00442</t>
  </si>
  <si>
    <t xml:space="preserve">DEAL00443</t>
  </si>
  <si>
    <t xml:space="preserve">DEAL00444</t>
  </si>
  <si>
    <t xml:space="preserve">DEAL00445</t>
  </si>
  <si>
    <t xml:space="preserve">DEAL00446</t>
  </si>
  <si>
    <t xml:space="preserve">DEAL00447</t>
  </si>
  <si>
    <t xml:space="preserve">DEAL00448</t>
  </si>
  <si>
    <t xml:space="preserve">DEAL00449</t>
  </si>
  <si>
    <t xml:space="preserve">DEAL00450</t>
  </si>
  <si>
    <t xml:space="preserve">DEAL00451</t>
  </si>
  <si>
    <t xml:space="preserve">DEAL00452</t>
  </si>
  <si>
    <t xml:space="preserve">DEAL00453</t>
  </si>
  <si>
    <t xml:space="preserve">DEAL00454</t>
  </si>
  <si>
    <t xml:space="preserve">DEAL00455</t>
  </si>
  <si>
    <t xml:space="preserve">DEAL00456</t>
  </si>
  <si>
    <t xml:space="preserve">DEAL00457</t>
  </si>
  <si>
    <t xml:space="preserve">DEAL00458</t>
  </si>
  <si>
    <t xml:space="preserve">DEAL00459</t>
  </si>
  <si>
    <t xml:space="preserve">DEAL00460</t>
  </si>
  <si>
    <t xml:space="preserve">DEAL00461</t>
  </si>
  <si>
    <t xml:space="preserve">DEAL00462</t>
  </si>
  <si>
    <t xml:space="preserve">DEAL00463</t>
  </si>
  <si>
    <t xml:space="preserve">DEAL00464</t>
  </si>
  <si>
    <t xml:space="preserve">DEAL00465</t>
  </si>
  <si>
    <t xml:space="preserve">DEAL00466</t>
  </si>
  <si>
    <t xml:space="preserve">DEAL00467</t>
  </si>
  <si>
    <t xml:space="preserve">DEAL00468</t>
  </si>
  <si>
    <t xml:space="preserve">DEAL00469</t>
  </si>
  <si>
    <t xml:space="preserve">DEAL00470</t>
  </si>
  <si>
    <t xml:space="preserve">DEAL00471</t>
  </si>
  <si>
    <t xml:space="preserve">DEAL00472</t>
  </si>
  <si>
    <t xml:space="preserve">DEAL00473</t>
  </si>
  <si>
    <t xml:space="preserve">DEAL00474</t>
  </si>
  <si>
    <t xml:space="preserve">DEAL00475</t>
  </si>
  <si>
    <t xml:space="preserve">DEAL00476</t>
  </si>
  <si>
    <t xml:space="preserve">DEAL00477</t>
  </si>
  <si>
    <t xml:space="preserve">DEAL00478</t>
  </si>
  <si>
    <t xml:space="preserve">DEAL00479</t>
  </si>
  <si>
    <t xml:space="preserve">DEAL00480</t>
  </si>
  <si>
    <t xml:space="preserve">DEAL00481</t>
  </si>
  <si>
    <t xml:space="preserve">DEAL00482</t>
  </si>
  <si>
    <t xml:space="preserve">DEAL00483</t>
  </si>
  <si>
    <t xml:space="preserve">DEAL00484</t>
  </si>
  <si>
    <t xml:space="preserve">DEAL00485</t>
  </si>
  <si>
    <t xml:space="preserve">DEAL00486</t>
  </si>
  <si>
    <t xml:space="preserve">DEAL00487</t>
  </si>
  <si>
    <t xml:space="preserve">DEAL00488</t>
  </si>
  <si>
    <t xml:space="preserve">DEAL00489</t>
  </si>
  <si>
    <t xml:space="preserve">DEAL00490</t>
  </si>
  <si>
    <t xml:space="preserve">DEAL00491</t>
  </si>
  <si>
    <t xml:space="preserve">DEAL00492</t>
  </si>
  <si>
    <t xml:space="preserve">DEAL00493</t>
  </si>
  <si>
    <t xml:space="preserve">DEAL00494</t>
  </si>
  <si>
    <t xml:space="preserve">DEAL00495</t>
  </si>
  <si>
    <t xml:space="preserve">DEAL00496</t>
  </si>
  <si>
    <t xml:space="preserve">DEAL00497</t>
  </si>
  <si>
    <t xml:space="preserve">DEAL00498</t>
  </si>
  <si>
    <t xml:space="preserve">DEAL00499</t>
  </si>
  <si>
    <t xml:space="preserve">DEAL00500</t>
  </si>
  <si>
    <t xml:space="preserve">Pricing Calculator</t>
  </si>
  <si>
    <t xml:space="preserve">Customer Name</t>
  </si>
  <si>
    <t xml:space="preserve">Product Name</t>
  </si>
  <si>
    <t xml:space="preserve">Quantity</t>
  </si>
  <si>
    <t xml:space="preserve">Other Cost (total)</t>
  </si>
  <si>
    <t xml:space="preserve">Discount %</t>
  </si>
  <si>
    <t xml:space="preserve">Competitor Price (total)</t>
  </si>
  <si>
    <t xml:space="preserve">Payment Terms (days)</t>
  </si>
  <si>
    <t xml:space="preserve">Expected Delivery (days)</t>
  </si>
  <si>
    <t xml:space="preserve">Target Margin %</t>
  </si>
  <si>
    <t xml:space="preserve">Looked-up Customer &amp; Product Data</t>
  </si>
  <si>
    <t xml:space="preserve">Historical Win Rate</t>
  </si>
  <si>
    <t xml:space="preserve">Relationship Years</t>
  </si>
  <si>
    <t xml:space="preserve">Strategic Account (1/0)</t>
  </si>
  <si>
    <t xml:space="preserve">Customer Risk Level</t>
  </si>
  <si>
    <t xml:space="preserve">Base Cost (unit)</t>
  </si>
  <si>
    <t xml:space="preserve">Standard Price (unit)</t>
  </si>
  <si>
    <t xml:space="preserve">Installation Cost (unit)</t>
  </si>
  <si>
    <t xml:space="preserve">Warranty Cost (unit)</t>
  </si>
  <si>
    <t xml:space="preserve">Maintenance Cost (unit)</t>
  </si>
  <si>
    <t xml:space="preserve">Logistics Cost (unit)</t>
  </si>
  <si>
    <t xml:space="preserve">Minimum Margin %</t>
  </si>
  <si>
    <t xml:space="preserve">Maximum Discount %</t>
  </si>
  <si>
    <t xml:space="preserve">Pricing Calculation</t>
  </si>
  <si>
    <t xml:space="preserve">Total Cost</t>
  </si>
  <si>
    <t xml:space="preserve">List Price</t>
  </si>
  <si>
    <t xml:space="preserve">Discount Amount</t>
  </si>
  <si>
    <t xml:space="preserve">Quoted Price</t>
  </si>
  <si>
    <t xml:space="preserve">Revenue</t>
  </si>
  <si>
    <t xml:space="preserve">Gross Profit</t>
  </si>
  <si>
    <t xml:space="preserve">Gross Margin %</t>
  </si>
  <si>
    <t xml:space="preserve">Minimum Acceptable Price</t>
  </si>
  <si>
    <t xml:space="preserve">Target Price</t>
  </si>
  <si>
    <t xml:space="preserve">Maximum Discount Allowed %</t>
  </si>
  <si>
    <t xml:space="preserve">Expected Win Probability % (baseline)</t>
  </si>
  <si>
    <t xml:space="preserve">Expected Revenue</t>
  </si>
  <si>
    <t xml:space="preserve">Expected Profit</t>
  </si>
  <si>
    <t xml:space="preserve">Commercial Flags</t>
  </si>
  <si>
    <t xml:space="preserve">Margin Position</t>
  </si>
  <si>
    <t xml:space="preserve">Discount Flag</t>
  </si>
  <si>
    <t xml:space="preserve">Margin Flag</t>
  </si>
  <si>
    <t xml:space="preserve">Scenario Analysis — Discount Scenarios</t>
  </si>
  <si>
    <t xml:space="preserve">All scenarios below reference the Customer/Product/Quantity selected on the Pricing Calculator sheet.</t>
  </si>
  <si>
    <t xml:space="preserve">Scenario</t>
  </si>
  <si>
    <t xml:space="preserve">Margin %</t>
  </si>
  <si>
    <t xml:space="preserve">Win Probability</t>
  </si>
  <si>
    <t xml:space="preserve">Scenario A</t>
  </si>
  <si>
    <t xml:space="preserve">Scenario B</t>
  </si>
  <si>
    <t xml:space="preserve">Scenario C</t>
  </si>
  <si>
    <t xml:space="preserve">Scenario D</t>
  </si>
  <si>
    <t xml:space="preserve">Note: Expected Revenue/Profit = Revenue or Gross Profit x Win Probability (simplified expected-value approach).</t>
  </si>
  <si>
    <t xml:space="preserve">Commercial Risk Assessment</t>
  </si>
  <si>
    <t xml:space="preserve">Risk Weights (editable, must total 100%)</t>
  </si>
  <si>
    <t xml:space="preserve">Customer Risk</t>
  </si>
  <si>
    <t xml:space="preserve">Score each dimension 0 (Low), 1 (Medium), 2 (High):</t>
  </si>
  <si>
    <t xml:space="preserve">Payment Risk</t>
  </si>
  <si>
    <t xml:space="preserve">Margin Risk</t>
  </si>
  <si>
    <t xml:space="preserve">Discount Risk</t>
  </si>
  <si>
    <t xml:space="preserve">Delivery Risk</t>
  </si>
  <si>
    <t xml:space="preserve">Warranty Risk</t>
  </si>
  <si>
    <t xml:space="preserve">Competitive Risk</t>
  </si>
  <si>
    <t xml:space="preserve">Contract Risk</t>
  </si>
  <si>
    <t xml:space="preserve">Total</t>
  </si>
  <si>
    <t xml:space="preserve">Weighted Risk Score (0-100)</t>
  </si>
  <si>
    <t xml:space="preserve">Risk Classification</t>
  </si>
  <si>
    <t xml:space="preserve">Proposal Summary</t>
  </si>
  <si>
    <t xml:space="preserve">Customer</t>
  </si>
  <si>
    <t xml:space="preserve">Product</t>
  </si>
  <si>
    <t xml:space="preserve">Total Contract Value</t>
  </si>
  <si>
    <t xml:space="preserve">Expected Margin %</t>
  </si>
  <si>
    <t xml:space="preserve">This summary updates automatically when inputs on the Pricing Calculator sheet change.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</si>
</sst>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\$#,##0;&quot;($&quot;#,##0\);\-"/>
    <numFmt numFmtId="167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/>
    </row>
    <row r="27" customFormat="false" ht="15" hidden="false" customHeight="false" outlineLevel="0" collapsed="false">
      <c r="A27" s="2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15"/>
    <col collapsed="false" customWidth="true" hidden="false" outlineLevel="0" max="7" min="7" style="0" width="17"/>
    <col collapsed="false" customWidth="true" hidden="false" outlineLevel="0" max="10" min="8" style="0" width="21"/>
    <col collapsed="false" customWidth="true" hidden="false" outlineLevel="0" max="11" min="11" style="0" width="22"/>
    <col collapsed="false" customWidth="true" hidden="false" outlineLevel="0" max="12" min="12" style="0" width="20"/>
    <col collapsed="false" customWidth="true" hidden="false" outlineLevel="0" max="13" min="13" style="0" width="19"/>
    <col collapsed="false" customWidth="true" hidden="false" outlineLevel="0" max="14" min="14" style="0" width="21"/>
  </cols>
  <sheetData>
    <row r="1" customFormat="false" ht="15" hidden="false" customHeight="false" outlineLevel="0" collapsed="false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34</v>
      </c>
      <c r="N1" s="3" t="s">
        <v>35</v>
      </c>
    </row>
    <row r="2" customFormat="false" ht="15" hidden="false" customHeight="false" outlineLevel="0" collapsed="false">
      <c r="A2" s="4" t="s">
        <v>36</v>
      </c>
      <c r="B2" s="4" t="s">
        <v>37</v>
      </c>
      <c r="C2" s="4" t="s">
        <v>38</v>
      </c>
      <c r="D2" s="4" t="s">
        <v>39</v>
      </c>
      <c r="E2" s="4" t="n">
        <v>169</v>
      </c>
      <c r="F2" s="4" t="s">
        <v>40</v>
      </c>
      <c r="G2" s="4" t="n">
        <v>9</v>
      </c>
      <c r="H2" s="4" t="n">
        <v>0.688</v>
      </c>
      <c r="I2" s="4" t="n">
        <v>0.4</v>
      </c>
      <c r="J2" s="4" t="n">
        <v>74</v>
      </c>
      <c r="K2" s="4" t="n">
        <v>50</v>
      </c>
      <c r="L2" s="4" t="n">
        <v>4</v>
      </c>
      <c r="M2" s="4" t="n">
        <v>0</v>
      </c>
      <c r="N2" s="4" t="s">
        <v>41</v>
      </c>
    </row>
    <row r="3" customFormat="false" ht="15" hidden="false" customHeight="false" outlineLevel="0" collapsed="false">
      <c r="A3" s="4" t="s">
        <v>42</v>
      </c>
      <c r="B3" s="4" t="s">
        <v>43</v>
      </c>
      <c r="C3" s="4" t="s">
        <v>44</v>
      </c>
      <c r="D3" s="4" t="s">
        <v>45</v>
      </c>
      <c r="E3" s="4" t="n">
        <v>754.9</v>
      </c>
      <c r="F3" s="4" t="s">
        <v>46</v>
      </c>
      <c r="G3" s="4" t="n">
        <v>3</v>
      </c>
      <c r="H3" s="4" t="n">
        <v>0.836</v>
      </c>
      <c r="I3" s="4" t="n">
        <v>0.5</v>
      </c>
      <c r="J3" s="4" t="n">
        <v>79</v>
      </c>
      <c r="K3" s="4" t="n">
        <v>44</v>
      </c>
      <c r="L3" s="4" t="n">
        <v>1</v>
      </c>
      <c r="M3" s="4" t="n">
        <v>0</v>
      </c>
      <c r="N3" s="4" t="s">
        <v>41</v>
      </c>
    </row>
    <row r="4" customFormat="false" ht="15" hidden="false" customHeight="false" outlineLevel="0" collapsed="false">
      <c r="A4" s="4" t="s">
        <v>47</v>
      </c>
      <c r="B4" s="4" t="s">
        <v>48</v>
      </c>
      <c r="C4" s="4" t="s">
        <v>49</v>
      </c>
      <c r="D4" s="4" t="s">
        <v>50</v>
      </c>
      <c r="E4" s="4" t="n">
        <v>1745.2</v>
      </c>
      <c r="F4" s="4" t="s">
        <v>51</v>
      </c>
      <c r="G4" s="4" t="n">
        <v>9</v>
      </c>
      <c r="H4" s="4" t="n">
        <v>2.015</v>
      </c>
      <c r="I4" s="4" t="n">
        <v>0.68</v>
      </c>
      <c r="J4" s="4" t="n">
        <v>78</v>
      </c>
      <c r="K4" s="4" t="n">
        <v>48</v>
      </c>
      <c r="L4" s="4" t="n">
        <v>8</v>
      </c>
      <c r="M4" s="4" t="n">
        <v>1</v>
      </c>
      <c r="N4" s="4" t="s">
        <v>52</v>
      </c>
    </row>
    <row r="5" customFormat="false" ht="15" hidden="false" customHeight="false" outlineLevel="0" collapsed="false">
      <c r="A5" s="4" t="s">
        <v>53</v>
      </c>
      <c r="B5" s="4" t="s">
        <v>54</v>
      </c>
      <c r="C5" s="4" t="s">
        <v>55</v>
      </c>
      <c r="D5" s="4" t="s">
        <v>56</v>
      </c>
      <c r="E5" s="4" t="n">
        <v>234.9</v>
      </c>
      <c r="F5" s="4" t="s">
        <v>40</v>
      </c>
      <c r="G5" s="4" t="n">
        <v>4</v>
      </c>
      <c r="H5" s="4" t="n">
        <v>0.948</v>
      </c>
      <c r="I5" s="4" t="n">
        <v>0.33</v>
      </c>
      <c r="J5" s="4" t="n">
        <v>67</v>
      </c>
      <c r="K5" s="4" t="n">
        <v>59</v>
      </c>
      <c r="L5" s="4" t="n">
        <v>3</v>
      </c>
      <c r="M5" s="4" t="n">
        <v>0</v>
      </c>
      <c r="N5" s="4" t="s">
        <v>41</v>
      </c>
    </row>
    <row r="6" customFormat="false" ht="15" hidden="false" customHeight="false" outlineLevel="0" collapsed="false">
      <c r="A6" s="4" t="s">
        <v>57</v>
      </c>
      <c r="B6" s="4" t="s">
        <v>58</v>
      </c>
      <c r="C6" s="4" t="s">
        <v>44</v>
      </c>
      <c r="D6" s="4" t="s">
        <v>59</v>
      </c>
      <c r="E6" s="4" t="n">
        <v>2103.1</v>
      </c>
      <c r="F6" s="4" t="s">
        <v>51</v>
      </c>
      <c r="G6" s="4" t="n">
        <v>15</v>
      </c>
      <c r="H6" s="4" t="n">
        <v>0.799</v>
      </c>
      <c r="I6" s="4" t="n">
        <v>0.71</v>
      </c>
      <c r="J6" s="4" t="n">
        <v>86</v>
      </c>
      <c r="K6" s="4" t="n">
        <v>39</v>
      </c>
      <c r="L6" s="4" t="n">
        <v>8</v>
      </c>
      <c r="M6" s="4" t="n">
        <v>1</v>
      </c>
      <c r="N6" s="4" t="s">
        <v>52</v>
      </c>
    </row>
    <row r="7" customFormat="false" ht="15" hidden="false" customHeight="false" outlineLevel="0" collapsed="false">
      <c r="A7" s="4" t="s">
        <v>60</v>
      </c>
      <c r="B7" s="4" t="s">
        <v>61</v>
      </c>
      <c r="C7" s="4" t="s">
        <v>62</v>
      </c>
      <c r="D7" s="4" t="s">
        <v>50</v>
      </c>
      <c r="E7" s="4" t="n">
        <v>2436.1</v>
      </c>
      <c r="F7" s="4" t="s">
        <v>51</v>
      </c>
      <c r="G7" s="4" t="n">
        <v>3</v>
      </c>
      <c r="H7" s="4" t="n">
        <v>1.035</v>
      </c>
      <c r="I7" s="4" t="n">
        <v>0.67</v>
      </c>
      <c r="J7" s="4" t="n">
        <v>81</v>
      </c>
      <c r="K7" s="4" t="n">
        <v>40</v>
      </c>
      <c r="L7" s="4" t="n">
        <v>3</v>
      </c>
      <c r="M7" s="4" t="n">
        <v>1</v>
      </c>
      <c r="N7" s="4" t="s">
        <v>52</v>
      </c>
    </row>
    <row r="8" customFormat="false" ht="15" hidden="false" customHeight="false" outlineLevel="0" collapsed="false">
      <c r="A8" s="4" t="s">
        <v>63</v>
      </c>
      <c r="B8" s="4" t="s">
        <v>64</v>
      </c>
      <c r="C8" s="4" t="s">
        <v>65</v>
      </c>
      <c r="D8" s="4" t="s">
        <v>56</v>
      </c>
      <c r="E8" s="4" t="n">
        <v>7334.2</v>
      </c>
      <c r="F8" s="4" t="s">
        <v>66</v>
      </c>
      <c r="G8" s="4" t="n">
        <v>8</v>
      </c>
      <c r="H8" s="4" t="n">
        <v>0.976</v>
      </c>
      <c r="I8" s="4" t="n">
        <v>0.71</v>
      </c>
      <c r="J8" s="4" t="n">
        <v>95</v>
      </c>
      <c r="K8" s="4" t="n">
        <v>29</v>
      </c>
      <c r="L8" s="4" t="n">
        <v>7</v>
      </c>
      <c r="M8" s="4" t="n">
        <v>1</v>
      </c>
      <c r="N8" s="4" t="s">
        <v>52</v>
      </c>
    </row>
    <row r="9" customFormat="false" ht="15" hidden="false" customHeight="false" outlineLevel="0" collapsed="false">
      <c r="A9" s="4" t="s">
        <v>67</v>
      </c>
      <c r="B9" s="4" t="s">
        <v>68</v>
      </c>
      <c r="C9" s="4" t="s">
        <v>62</v>
      </c>
      <c r="D9" s="4" t="s">
        <v>39</v>
      </c>
      <c r="E9" s="4" t="n">
        <v>352.6</v>
      </c>
      <c r="F9" s="4" t="s">
        <v>46</v>
      </c>
      <c r="G9" s="4" t="n">
        <v>0</v>
      </c>
      <c r="H9" s="4" t="n">
        <v>0.356</v>
      </c>
      <c r="I9" s="4" t="n">
        <v>0.36</v>
      </c>
      <c r="J9" s="4" t="n">
        <v>67</v>
      </c>
      <c r="K9" s="4" t="n">
        <v>56</v>
      </c>
      <c r="L9" s="4" t="n">
        <v>0</v>
      </c>
      <c r="M9" s="4" t="n">
        <v>0</v>
      </c>
      <c r="N9" s="4" t="s">
        <v>41</v>
      </c>
    </row>
    <row r="10" customFormat="false" ht="15" hidden="false" customHeight="false" outlineLevel="0" collapsed="false">
      <c r="A10" s="4" t="s">
        <v>69</v>
      </c>
      <c r="B10" s="4" t="s">
        <v>70</v>
      </c>
      <c r="C10" s="4" t="s">
        <v>44</v>
      </c>
      <c r="D10" s="4" t="s">
        <v>39</v>
      </c>
      <c r="E10" s="4" t="n">
        <v>569.6</v>
      </c>
      <c r="F10" s="4" t="s">
        <v>46</v>
      </c>
      <c r="G10" s="4" t="n">
        <v>3</v>
      </c>
      <c r="H10" s="4" t="n">
        <v>1.035</v>
      </c>
      <c r="I10" s="4" t="n">
        <v>0.41</v>
      </c>
      <c r="J10" s="4" t="n">
        <v>78</v>
      </c>
      <c r="K10" s="4" t="n">
        <v>44</v>
      </c>
      <c r="L10" s="4" t="n">
        <v>2</v>
      </c>
      <c r="M10" s="4" t="n">
        <v>0</v>
      </c>
      <c r="N10" s="4" t="s">
        <v>41</v>
      </c>
    </row>
    <row r="11" customFormat="false" ht="15" hidden="false" customHeight="false" outlineLevel="0" collapsed="false">
      <c r="A11" s="4" t="s">
        <v>71</v>
      </c>
      <c r="B11" s="4" t="s">
        <v>72</v>
      </c>
      <c r="C11" s="4" t="s">
        <v>65</v>
      </c>
      <c r="D11" s="4" t="s">
        <v>73</v>
      </c>
      <c r="E11" s="4" t="n">
        <v>676.4</v>
      </c>
      <c r="F11" s="4" t="s">
        <v>46</v>
      </c>
      <c r="G11" s="4" t="n">
        <v>14</v>
      </c>
      <c r="H11" s="4" t="n">
        <v>0.429</v>
      </c>
      <c r="I11" s="4" t="n">
        <v>0.59</v>
      </c>
      <c r="J11" s="4" t="n">
        <v>76</v>
      </c>
      <c r="K11" s="4" t="n">
        <v>46</v>
      </c>
      <c r="L11" s="4" t="n">
        <v>7</v>
      </c>
      <c r="M11" s="4" t="n">
        <v>0</v>
      </c>
      <c r="N11" s="4" t="s">
        <v>52</v>
      </c>
    </row>
    <row r="12" customFormat="false" ht="15" hidden="false" customHeight="false" outlineLevel="0" collapsed="false">
      <c r="A12" s="4" t="s">
        <v>74</v>
      </c>
      <c r="B12" s="4" t="s">
        <v>75</v>
      </c>
      <c r="C12" s="4" t="s">
        <v>44</v>
      </c>
      <c r="D12" s="4" t="s">
        <v>59</v>
      </c>
      <c r="E12" s="4" t="n">
        <v>402.4</v>
      </c>
      <c r="F12" s="4" t="s">
        <v>46</v>
      </c>
      <c r="G12" s="4" t="n">
        <v>0</v>
      </c>
      <c r="H12" s="4" t="n">
        <v>0.076</v>
      </c>
      <c r="I12" s="4" t="n">
        <v>0.49</v>
      </c>
      <c r="J12" s="4" t="n">
        <v>71</v>
      </c>
      <c r="K12" s="4" t="n">
        <v>35</v>
      </c>
      <c r="L12" s="4" t="n">
        <v>0</v>
      </c>
      <c r="M12" s="4" t="n">
        <v>0</v>
      </c>
      <c r="N12" s="4" t="s">
        <v>41</v>
      </c>
    </row>
    <row r="13" customFormat="false" ht="15" hidden="false" customHeight="false" outlineLevel="0" collapsed="false">
      <c r="A13" s="4" t="s">
        <v>76</v>
      </c>
      <c r="B13" s="4" t="s">
        <v>77</v>
      </c>
      <c r="C13" s="4" t="s">
        <v>44</v>
      </c>
      <c r="D13" s="4" t="s">
        <v>39</v>
      </c>
      <c r="E13" s="4" t="n">
        <v>104.9</v>
      </c>
      <c r="F13" s="4" t="s">
        <v>40</v>
      </c>
      <c r="G13" s="4" t="n">
        <v>13</v>
      </c>
      <c r="H13" s="4" t="n">
        <v>0.555</v>
      </c>
      <c r="I13" s="4" t="n">
        <v>0.43</v>
      </c>
      <c r="J13" s="4" t="n">
        <v>67</v>
      </c>
      <c r="K13" s="4" t="n">
        <v>44</v>
      </c>
      <c r="L13" s="4" t="n">
        <v>7</v>
      </c>
      <c r="M13" s="4" t="n">
        <v>0</v>
      </c>
      <c r="N13" s="4" t="s">
        <v>52</v>
      </c>
    </row>
    <row r="14" customFormat="false" ht="15" hidden="false" customHeight="false" outlineLevel="0" collapsed="false">
      <c r="A14" s="4" t="s">
        <v>78</v>
      </c>
      <c r="B14" s="4" t="s">
        <v>79</v>
      </c>
      <c r="C14" s="4" t="s">
        <v>62</v>
      </c>
      <c r="D14" s="4" t="s">
        <v>73</v>
      </c>
      <c r="E14" s="4" t="n">
        <v>115.2</v>
      </c>
      <c r="F14" s="4" t="s">
        <v>40</v>
      </c>
      <c r="G14" s="4" t="n">
        <v>0</v>
      </c>
      <c r="H14" s="4" t="n">
        <v>0.886</v>
      </c>
      <c r="I14" s="4" t="n">
        <v>0.4</v>
      </c>
      <c r="J14" s="4" t="n">
        <v>51</v>
      </c>
      <c r="K14" s="4" t="n">
        <v>64</v>
      </c>
      <c r="L14" s="4" t="n">
        <v>0</v>
      </c>
      <c r="M14" s="4" t="n">
        <v>0</v>
      </c>
      <c r="N14" s="4" t="s">
        <v>41</v>
      </c>
    </row>
    <row r="15" customFormat="false" ht="15" hidden="false" customHeight="false" outlineLevel="0" collapsed="false">
      <c r="A15" s="4" t="s">
        <v>80</v>
      </c>
      <c r="B15" s="4" t="s">
        <v>81</v>
      </c>
      <c r="C15" s="4" t="s">
        <v>62</v>
      </c>
      <c r="D15" s="4" t="s">
        <v>45</v>
      </c>
      <c r="E15" s="4" t="n">
        <v>131.4</v>
      </c>
      <c r="F15" s="4" t="s">
        <v>40</v>
      </c>
      <c r="G15" s="4" t="n">
        <v>0</v>
      </c>
      <c r="H15" s="4" t="n">
        <v>0.979</v>
      </c>
      <c r="I15" s="4" t="n">
        <v>0.35</v>
      </c>
      <c r="J15" s="4" t="n">
        <v>59</v>
      </c>
      <c r="K15" s="4" t="n">
        <v>82</v>
      </c>
      <c r="L15" s="4" t="n">
        <v>0</v>
      </c>
      <c r="M15" s="4" t="n">
        <v>0</v>
      </c>
      <c r="N15" s="4" t="s">
        <v>41</v>
      </c>
    </row>
    <row r="16" customFormat="false" ht="15" hidden="false" customHeight="false" outlineLevel="0" collapsed="false">
      <c r="A16" s="4" t="s">
        <v>82</v>
      </c>
      <c r="B16" s="4" t="s">
        <v>83</v>
      </c>
      <c r="C16" s="4" t="s">
        <v>44</v>
      </c>
      <c r="D16" s="4" t="s">
        <v>50</v>
      </c>
      <c r="E16" s="4" t="n">
        <v>1360.7</v>
      </c>
      <c r="F16" s="4" t="s">
        <v>51</v>
      </c>
      <c r="G16" s="4" t="n">
        <v>9</v>
      </c>
      <c r="H16" s="4" t="n">
        <v>0.317</v>
      </c>
      <c r="I16" s="4" t="n">
        <v>0.58</v>
      </c>
      <c r="J16" s="4" t="n">
        <v>86</v>
      </c>
      <c r="K16" s="4" t="n">
        <v>29</v>
      </c>
      <c r="L16" s="4" t="n">
        <v>4</v>
      </c>
      <c r="M16" s="4" t="n">
        <v>0</v>
      </c>
      <c r="N16" s="4" t="s">
        <v>52</v>
      </c>
    </row>
    <row r="17" customFormat="false" ht="15" hidden="false" customHeight="false" outlineLevel="0" collapsed="false">
      <c r="A17" s="4" t="s">
        <v>84</v>
      </c>
      <c r="B17" s="4" t="s">
        <v>85</v>
      </c>
      <c r="C17" s="4" t="s">
        <v>62</v>
      </c>
      <c r="D17" s="4" t="s">
        <v>45</v>
      </c>
      <c r="E17" s="4" t="n">
        <v>133.4</v>
      </c>
      <c r="F17" s="4" t="s">
        <v>40</v>
      </c>
      <c r="G17" s="4" t="n">
        <v>17</v>
      </c>
      <c r="H17" s="4" t="n">
        <v>0.407</v>
      </c>
      <c r="I17" s="4" t="n">
        <v>0.37</v>
      </c>
      <c r="J17" s="4" t="n">
        <v>61</v>
      </c>
      <c r="K17" s="4" t="n">
        <v>73</v>
      </c>
      <c r="L17" s="4" t="n">
        <v>7</v>
      </c>
      <c r="M17" s="4" t="n">
        <v>0</v>
      </c>
      <c r="N17" s="4" t="s">
        <v>52</v>
      </c>
    </row>
    <row r="18" customFormat="false" ht="15" hidden="false" customHeight="false" outlineLevel="0" collapsed="false">
      <c r="A18" s="4" t="s">
        <v>86</v>
      </c>
      <c r="B18" s="4" t="s">
        <v>87</v>
      </c>
      <c r="C18" s="4" t="s">
        <v>49</v>
      </c>
      <c r="D18" s="4" t="s">
        <v>39</v>
      </c>
      <c r="E18" s="4" t="n">
        <v>386.3</v>
      </c>
      <c r="F18" s="4" t="s">
        <v>46</v>
      </c>
      <c r="G18" s="4" t="n">
        <v>3</v>
      </c>
      <c r="H18" s="4" t="n">
        <v>0.28</v>
      </c>
      <c r="I18" s="4" t="n">
        <v>0.36</v>
      </c>
      <c r="J18" s="4" t="n">
        <v>74</v>
      </c>
      <c r="K18" s="4" t="n">
        <v>37</v>
      </c>
      <c r="L18" s="4" t="n">
        <v>3</v>
      </c>
      <c r="M18" s="4" t="n">
        <v>0</v>
      </c>
      <c r="N18" s="4" t="s">
        <v>41</v>
      </c>
    </row>
    <row r="19" customFormat="false" ht="15" hidden="false" customHeight="false" outlineLevel="0" collapsed="false">
      <c r="A19" s="4" t="s">
        <v>88</v>
      </c>
      <c r="B19" s="4" t="s">
        <v>89</v>
      </c>
      <c r="C19" s="4" t="s">
        <v>55</v>
      </c>
      <c r="D19" s="4" t="s">
        <v>56</v>
      </c>
      <c r="E19" s="4" t="n">
        <v>378.6</v>
      </c>
      <c r="F19" s="4" t="s">
        <v>46</v>
      </c>
      <c r="G19" s="4" t="n">
        <v>1</v>
      </c>
      <c r="H19" s="4" t="n">
        <v>1.114</v>
      </c>
      <c r="I19" s="4" t="n">
        <v>0.45</v>
      </c>
      <c r="J19" s="4" t="n">
        <v>79</v>
      </c>
      <c r="K19" s="4" t="n">
        <v>54</v>
      </c>
      <c r="L19" s="4" t="n">
        <v>1</v>
      </c>
      <c r="M19" s="4" t="n">
        <v>0</v>
      </c>
      <c r="N19" s="4" t="s">
        <v>41</v>
      </c>
    </row>
    <row r="20" customFormat="false" ht="15" hidden="false" customHeight="false" outlineLevel="0" collapsed="false">
      <c r="A20" s="4" t="s">
        <v>90</v>
      </c>
      <c r="B20" s="4" t="s">
        <v>91</v>
      </c>
      <c r="C20" s="4" t="s">
        <v>65</v>
      </c>
      <c r="D20" s="4" t="s">
        <v>56</v>
      </c>
      <c r="E20" s="4" t="n">
        <v>363.5</v>
      </c>
      <c r="F20" s="4" t="s">
        <v>46</v>
      </c>
      <c r="G20" s="4" t="n">
        <v>7</v>
      </c>
      <c r="H20" s="4" t="n">
        <v>0.318</v>
      </c>
      <c r="I20" s="4" t="n">
        <v>0.43</v>
      </c>
      <c r="J20" s="4" t="n">
        <v>84</v>
      </c>
      <c r="K20" s="4" t="n">
        <v>28</v>
      </c>
      <c r="L20" s="4" t="n">
        <v>3</v>
      </c>
      <c r="M20" s="4" t="n">
        <v>0</v>
      </c>
      <c r="N20" s="4" t="s">
        <v>52</v>
      </c>
    </row>
    <row r="21" customFormat="false" ht="15" hidden="false" customHeight="false" outlineLevel="0" collapsed="false">
      <c r="A21" s="4" t="s">
        <v>92</v>
      </c>
      <c r="B21" s="4" t="s">
        <v>93</v>
      </c>
      <c r="C21" s="4" t="s">
        <v>38</v>
      </c>
      <c r="D21" s="4" t="s">
        <v>39</v>
      </c>
      <c r="E21" s="4" t="n">
        <v>198.6</v>
      </c>
      <c r="F21" s="4" t="s">
        <v>40</v>
      </c>
      <c r="G21" s="4" t="n">
        <v>1</v>
      </c>
      <c r="H21" s="4" t="n">
        <v>0.335</v>
      </c>
      <c r="I21" s="4" t="n">
        <v>0.31</v>
      </c>
      <c r="J21" s="4" t="n">
        <v>64</v>
      </c>
      <c r="K21" s="4" t="n">
        <v>38</v>
      </c>
      <c r="L21" s="4" t="n">
        <v>1</v>
      </c>
      <c r="M21" s="4" t="n">
        <v>0</v>
      </c>
      <c r="N21" s="4" t="s">
        <v>41</v>
      </c>
    </row>
    <row r="22" customFormat="false" ht="15" hidden="false" customHeight="false" outlineLevel="0" collapsed="false">
      <c r="A22" s="4" t="s">
        <v>94</v>
      </c>
      <c r="B22" s="4" t="s">
        <v>95</v>
      </c>
      <c r="C22" s="4" t="s">
        <v>38</v>
      </c>
      <c r="D22" s="4" t="s">
        <v>45</v>
      </c>
      <c r="E22" s="4" t="n">
        <v>109</v>
      </c>
      <c r="F22" s="4" t="s">
        <v>40</v>
      </c>
      <c r="G22" s="4" t="n">
        <v>0</v>
      </c>
      <c r="H22" s="4" t="n">
        <v>0.407</v>
      </c>
      <c r="I22" s="4" t="n">
        <v>0.56</v>
      </c>
      <c r="J22" s="4" t="n">
        <v>62</v>
      </c>
      <c r="K22" s="4" t="n">
        <v>61</v>
      </c>
      <c r="L22" s="4" t="n">
        <v>0</v>
      </c>
      <c r="M22" s="4" t="n">
        <v>0</v>
      </c>
      <c r="N22" s="4" t="s">
        <v>41</v>
      </c>
    </row>
    <row r="23" customFormat="false" ht="15" hidden="false" customHeight="false" outlineLevel="0" collapsed="false">
      <c r="A23" s="4" t="s">
        <v>96</v>
      </c>
      <c r="B23" s="4" t="s">
        <v>97</v>
      </c>
      <c r="C23" s="4" t="s">
        <v>65</v>
      </c>
      <c r="D23" s="4" t="s">
        <v>59</v>
      </c>
      <c r="E23" s="4" t="n">
        <v>1176.5</v>
      </c>
      <c r="F23" s="4" t="s">
        <v>51</v>
      </c>
      <c r="G23" s="4" t="n">
        <v>0</v>
      </c>
      <c r="H23" s="4" t="n">
        <v>1.46</v>
      </c>
      <c r="I23" s="4" t="n">
        <v>0.57</v>
      </c>
      <c r="J23" s="4" t="n">
        <v>82</v>
      </c>
      <c r="K23" s="4" t="n">
        <v>40</v>
      </c>
      <c r="L23" s="4" t="n">
        <v>2</v>
      </c>
      <c r="M23" s="4" t="n">
        <v>1</v>
      </c>
      <c r="N23" s="4" t="s">
        <v>41</v>
      </c>
    </row>
    <row r="24" customFormat="false" ht="15" hidden="false" customHeight="false" outlineLevel="0" collapsed="false">
      <c r="A24" s="4" t="s">
        <v>98</v>
      </c>
      <c r="B24" s="4" t="s">
        <v>99</v>
      </c>
      <c r="C24" s="4" t="s">
        <v>38</v>
      </c>
      <c r="D24" s="4" t="s">
        <v>73</v>
      </c>
      <c r="E24" s="4" t="n">
        <v>2475</v>
      </c>
      <c r="F24" s="4" t="s">
        <v>51</v>
      </c>
      <c r="G24" s="4" t="n">
        <v>3</v>
      </c>
      <c r="H24" s="4" t="n">
        <v>0.959</v>
      </c>
      <c r="I24" s="4" t="n">
        <v>0.44</v>
      </c>
      <c r="J24" s="4" t="n">
        <v>97</v>
      </c>
      <c r="K24" s="4" t="n">
        <v>26</v>
      </c>
      <c r="L24" s="4" t="n">
        <v>4</v>
      </c>
      <c r="M24" s="4" t="n">
        <v>0</v>
      </c>
      <c r="N24" s="4" t="s">
        <v>52</v>
      </c>
    </row>
    <row r="25" customFormat="false" ht="15" hidden="false" customHeight="false" outlineLevel="0" collapsed="false">
      <c r="A25" s="4" t="s">
        <v>100</v>
      </c>
      <c r="B25" s="4" t="s">
        <v>101</v>
      </c>
      <c r="C25" s="4" t="s">
        <v>44</v>
      </c>
      <c r="D25" s="4" t="s">
        <v>59</v>
      </c>
      <c r="E25" s="4" t="n">
        <v>99.4</v>
      </c>
      <c r="F25" s="4" t="s">
        <v>40</v>
      </c>
      <c r="G25" s="4" t="n">
        <v>11</v>
      </c>
      <c r="H25" s="4" t="n">
        <v>0.356</v>
      </c>
      <c r="I25" s="4" t="n">
        <v>0.42</v>
      </c>
      <c r="J25" s="4" t="n">
        <v>44</v>
      </c>
      <c r="K25" s="4" t="n">
        <v>73</v>
      </c>
      <c r="L25" s="4" t="n">
        <v>4</v>
      </c>
      <c r="M25" s="4" t="n">
        <v>0</v>
      </c>
      <c r="N25" s="4" t="s">
        <v>41</v>
      </c>
    </row>
    <row r="26" customFormat="false" ht="15" hidden="false" customHeight="false" outlineLevel="0" collapsed="false">
      <c r="A26" s="4" t="s">
        <v>102</v>
      </c>
      <c r="B26" s="4" t="s">
        <v>103</v>
      </c>
      <c r="C26" s="4" t="s">
        <v>65</v>
      </c>
      <c r="D26" s="4" t="s">
        <v>45</v>
      </c>
      <c r="E26" s="4" t="n">
        <v>439.5</v>
      </c>
      <c r="F26" s="4" t="s">
        <v>46</v>
      </c>
      <c r="G26" s="4" t="n">
        <v>0</v>
      </c>
      <c r="H26" s="4" t="n">
        <v>0.839</v>
      </c>
      <c r="I26" s="4" t="n">
        <v>0.46</v>
      </c>
      <c r="J26" s="4" t="n">
        <v>81</v>
      </c>
      <c r="K26" s="4" t="n">
        <v>35</v>
      </c>
      <c r="L26" s="4" t="n">
        <v>0</v>
      </c>
      <c r="M26" s="4" t="n">
        <v>0</v>
      </c>
      <c r="N26" s="4" t="s">
        <v>41</v>
      </c>
    </row>
    <row r="27" customFormat="false" ht="15" hidden="false" customHeight="false" outlineLevel="0" collapsed="false">
      <c r="A27" s="4" t="s">
        <v>104</v>
      </c>
      <c r="B27" s="4" t="s">
        <v>105</v>
      </c>
      <c r="C27" s="4" t="s">
        <v>62</v>
      </c>
      <c r="D27" s="4" t="s">
        <v>39</v>
      </c>
      <c r="E27" s="4" t="n">
        <v>176.6</v>
      </c>
      <c r="F27" s="4" t="s">
        <v>40</v>
      </c>
      <c r="G27" s="4" t="n">
        <v>13</v>
      </c>
      <c r="H27" s="4" t="n">
        <v>0.208</v>
      </c>
      <c r="I27" s="4" t="n">
        <v>0.36</v>
      </c>
      <c r="J27" s="4" t="n">
        <v>79</v>
      </c>
      <c r="K27" s="4" t="n">
        <v>48</v>
      </c>
      <c r="L27" s="4" t="n">
        <v>5</v>
      </c>
      <c r="M27" s="4" t="n">
        <v>0</v>
      </c>
      <c r="N27" s="4" t="s">
        <v>52</v>
      </c>
    </row>
    <row r="28" customFormat="false" ht="15" hidden="false" customHeight="false" outlineLevel="0" collapsed="false">
      <c r="A28" s="4" t="s">
        <v>106</v>
      </c>
      <c r="B28" s="4" t="s">
        <v>107</v>
      </c>
      <c r="C28" s="4" t="s">
        <v>65</v>
      </c>
      <c r="D28" s="4" t="s">
        <v>56</v>
      </c>
      <c r="E28" s="4" t="n">
        <v>769.6</v>
      </c>
      <c r="F28" s="4" t="s">
        <v>46</v>
      </c>
      <c r="G28" s="4" t="n">
        <v>2</v>
      </c>
      <c r="H28" s="4" t="n">
        <v>0.708</v>
      </c>
      <c r="I28" s="4" t="n">
        <v>0.53</v>
      </c>
      <c r="J28" s="4" t="n">
        <v>69</v>
      </c>
      <c r="K28" s="4" t="n">
        <v>54</v>
      </c>
      <c r="L28" s="4" t="n">
        <v>1</v>
      </c>
      <c r="M28" s="4" t="n">
        <v>0</v>
      </c>
      <c r="N28" s="4" t="s">
        <v>41</v>
      </c>
    </row>
    <row r="29" customFormat="false" ht="15" hidden="false" customHeight="false" outlineLevel="0" collapsed="false">
      <c r="A29" s="4" t="s">
        <v>108</v>
      </c>
      <c r="B29" s="4" t="s">
        <v>109</v>
      </c>
      <c r="C29" s="4" t="s">
        <v>65</v>
      </c>
      <c r="D29" s="4" t="s">
        <v>59</v>
      </c>
      <c r="E29" s="4" t="n">
        <v>233.9</v>
      </c>
      <c r="F29" s="4" t="s">
        <v>40</v>
      </c>
      <c r="G29" s="4" t="n">
        <v>8</v>
      </c>
      <c r="H29" s="4" t="n">
        <v>0.94</v>
      </c>
      <c r="I29" s="4" t="n">
        <v>0.54</v>
      </c>
      <c r="J29" s="4" t="n">
        <v>76</v>
      </c>
      <c r="K29" s="4" t="n">
        <v>47</v>
      </c>
      <c r="L29" s="4" t="n">
        <v>7</v>
      </c>
      <c r="M29" s="4" t="n">
        <v>0</v>
      </c>
      <c r="N29" s="4" t="s">
        <v>52</v>
      </c>
    </row>
    <row r="30" customFormat="false" ht="15" hidden="false" customHeight="false" outlineLevel="0" collapsed="false">
      <c r="A30" s="4" t="s">
        <v>110</v>
      </c>
      <c r="B30" s="4" t="s">
        <v>111</v>
      </c>
      <c r="C30" s="4" t="s">
        <v>38</v>
      </c>
      <c r="D30" s="4" t="s">
        <v>45</v>
      </c>
      <c r="E30" s="4" t="n">
        <v>227.3</v>
      </c>
      <c r="F30" s="4" t="s">
        <v>40</v>
      </c>
      <c r="G30" s="4" t="n">
        <v>3</v>
      </c>
      <c r="H30" s="4" t="n">
        <v>0.889</v>
      </c>
      <c r="I30" s="4" t="n">
        <v>0.44</v>
      </c>
      <c r="J30" s="4" t="n">
        <v>72</v>
      </c>
      <c r="K30" s="4" t="n">
        <v>37</v>
      </c>
      <c r="L30" s="4" t="n">
        <v>3</v>
      </c>
      <c r="M30" s="4" t="n">
        <v>0</v>
      </c>
      <c r="N30" s="4" t="s">
        <v>41</v>
      </c>
    </row>
    <row r="31" customFormat="false" ht="15" hidden="false" customHeight="false" outlineLevel="0" collapsed="false">
      <c r="A31" s="4" t="s">
        <v>112</v>
      </c>
      <c r="B31" s="4" t="s">
        <v>113</v>
      </c>
      <c r="C31" s="4" t="s">
        <v>38</v>
      </c>
      <c r="D31" s="4" t="s">
        <v>59</v>
      </c>
      <c r="E31" s="4" t="n">
        <v>176.3</v>
      </c>
      <c r="F31" s="4" t="s">
        <v>40</v>
      </c>
      <c r="G31" s="4" t="n">
        <v>7</v>
      </c>
      <c r="H31" s="4" t="n">
        <v>0.999</v>
      </c>
      <c r="I31" s="4" t="n">
        <v>0.54</v>
      </c>
      <c r="J31" s="4" t="n">
        <v>61</v>
      </c>
      <c r="K31" s="4" t="n">
        <v>60</v>
      </c>
      <c r="L31" s="4" t="n">
        <v>3</v>
      </c>
      <c r="M31" s="4" t="n">
        <v>0</v>
      </c>
      <c r="N31" s="4" t="s">
        <v>41</v>
      </c>
    </row>
    <row r="32" customFormat="false" ht="15" hidden="false" customHeight="false" outlineLevel="0" collapsed="false">
      <c r="A32" s="4" t="s">
        <v>114</v>
      </c>
      <c r="B32" s="4" t="s">
        <v>115</v>
      </c>
      <c r="C32" s="4" t="s">
        <v>65</v>
      </c>
      <c r="D32" s="4" t="s">
        <v>50</v>
      </c>
      <c r="E32" s="4" t="n">
        <v>481.2</v>
      </c>
      <c r="F32" s="4" t="s">
        <v>46</v>
      </c>
      <c r="G32" s="4" t="n">
        <v>10</v>
      </c>
      <c r="H32" s="4" t="n">
        <v>0.214</v>
      </c>
      <c r="I32" s="4" t="n">
        <v>0.42</v>
      </c>
      <c r="J32" s="4" t="n">
        <v>76</v>
      </c>
      <c r="K32" s="4" t="n">
        <v>49</v>
      </c>
      <c r="L32" s="4" t="n">
        <v>4</v>
      </c>
      <c r="M32" s="4" t="n">
        <v>0</v>
      </c>
      <c r="N32" s="4" t="s">
        <v>52</v>
      </c>
    </row>
    <row r="33" customFormat="false" ht="15" hidden="false" customHeight="false" outlineLevel="0" collapsed="false">
      <c r="A33" s="4" t="s">
        <v>116</v>
      </c>
      <c r="B33" s="4" t="s">
        <v>117</v>
      </c>
      <c r="C33" s="4" t="s">
        <v>62</v>
      </c>
      <c r="D33" s="4" t="s">
        <v>73</v>
      </c>
      <c r="E33" s="4" t="n">
        <v>208.1</v>
      </c>
      <c r="F33" s="4" t="s">
        <v>40</v>
      </c>
      <c r="G33" s="4" t="n">
        <v>0</v>
      </c>
      <c r="H33" s="4" t="n">
        <v>0.324</v>
      </c>
      <c r="I33" s="4" t="n">
        <v>0.34</v>
      </c>
      <c r="J33" s="4" t="n">
        <v>71</v>
      </c>
      <c r="K33" s="4" t="n">
        <v>29</v>
      </c>
      <c r="L33" s="4" t="n">
        <v>2</v>
      </c>
      <c r="M33" s="4" t="n">
        <v>0</v>
      </c>
      <c r="N33" s="4" t="s">
        <v>41</v>
      </c>
    </row>
    <row r="34" customFormat="false" ht="15" hidden="false" customHeight="false" outlineLevel="0" collapsed="false">
      <c r="A34" s="4" t="s">
        <v>118</v>
      </c>
      <c r="B34" s="4" t="s">
        <v>119</v>
      </c>
      <c r="C34" s="4" t="s">
        <v>65</v>
      </c>
      <c r="D34" s="4" t="s">
        <v>39</v>
      </c>
      <c r="E34" s="4" t="n">
        <v>257</v>
      </c>
      <c r="F34" s="4" t="s">
        <v>40</v>
      </c>
      <c r="G34" s="4" t="n">
        <v>4</v>
      </c>
      <c r="H34" s="4" t="n">
        <v>1.029</v>
      </c>
      <c r="I34" s="4" t="n">
        <v>0.44</v>
      </c>
      <c r="J34" s="4" t="n">
        <v>64</v>
      </c>
      <c r="K34" s="4" t="n">
        <v>69</v>
      </c>
      <c r="L34" s="4" t="n">
        <v>3</v>
      </c>
      <c r="M34" s="4" t="n">
        <v>0</v>
      </c>
      <c r="N34" s="4" t="s">
        <v>41</v>
      </c>
    </row>
    <row r="35" customFormat="false" ht="15" hidden="false" customHeight="false" outlineLevel="0" collapsed="false">
      <c r="A35" s="4" t="s">
        <v>120</v>
      </c>
      <c r="B35" s="4" t="s">
        <v>121</v>
      </c>
      <c r="C35" s="4" t="s">
        <v>44</v>
      </c>
      <c r="D35" s="4" t="s">
        <v>73</v>
      </c>
      <c r="E35" s="4" t="n">
        <v>2177.8</v>
      </c>
      <c r="F35" s="4" t="s">
        <v>51</v>
      </c>
      <c r="G35" s="4" t="n">
        <v>19</v>
      </c>
      <c r="H35" s="4" t="n">
        <v>1.732</v>
      </c>
      <c r="I35" s="4" t="n">
        <v>0.63</v>
      </c>
      <c r="J35" s="4" t="n">
        <v>76</v>
      </c>
      <c r="K35" s="4" t="n">
        <v>48</v>
      </c>
      <c r="L35" s="4" t="n">
        <v>10</v>
      </c>
      <c r="M35" s="4" t="n">
        <v>1</v>
      </c>
      <c r="N35" s="4" t="s">
        <v>52</v>
      </c>
    </row>
    <row r="36" customFormat="false" ht="15" hidden="false" customHeight="false" outlineLevel="0" collapsed="false">
      <c r="A36" s="4" t="s">
        <v>122</v>
      </c>
      <c r="B36" s="4" t="s">
        <v>123</v>
      </c>
      <c r="C36" s="4" t="s">
        <v>62</v>
      </c>
      <c r="D36" s="4" t="s">
        <v>56</v>
      </c>
      <c r="E36" s="4" t="n">
        <v>1725.4</v>
      </c>
      <c r="F36" s="4" t="s">
        <v>51</v>
      </c>
      <c r="G36" s="4" t="n">
        <v>14</v>
      </c>
      <c r="H36" s="4" t="n">
        <v>1.429</v>
      </c>
      <c r="I36" s="4" t="n">
        <v>0.47</v>
      </c>
      <c r="J36" s="4" t="n">
        <v>87</v>
      </c>
      <c r="K36" s="4" t="n">
        <v>46</v>
      </c>
      <c r="L36" s="4" t="n">
        <v>7</v>
      </c>
      <c r="M36" s="4" t="n">
        <v>0</v>
      </c>
      <c r="N36" s="4" t="s">
        <v>52</v>
      </c>
    </row>
    <row r="37" customFormat="false" ht="15" hidden="false" customHeight="false" outlineLevel="0" collapsed="false">
      <c r="A37" s="4" t="s">
        <v>124</v>
      </c>
      <c r="B37" s="4" t="s">
        <v>125</v>
      </c>
      <c r="C37" s="4" t="s">
        <v>44</v>
      </c>
      <c r="D37" s="4" t="s">
        <v>56</v>
      </c>
      <c r="E37" s="4" t="n">
        <v>116.7</v>
      </c>
      <c r="F37" s="4" t="s">
        <v>40</v>
      </c>
      <c r="G37" s="4" t="n">
        <v>2</v>
      </c>
      <c r="H37" s="4" t="n">
        <v>0.542</v>
      </c>
      <c r="I37" s="4" t="n">
        <v>0.52</v>
      </c>
      <c r="J37" s="4" t="n">
        <v>65</v>
      </c>
      <c r="K37" s="4" t="n">
        <v>56</v>
      </c>
      <c r="L37" s="4" t="n">
        <v>2</v>
      </c>
      <c r="M37" s="4" t="n">
        <v>0</v>
      </c>
      <c r="N37" s="4" t="s">
        <v>41</v>
      </c>
    </row>
    <row r="38" customFormat="false" ht="15" hidden="false" customHeight="false" outlineLevel="0" collapsed="false">
      <c r="A38" s="4" t="s">
        <v>126</v>
      </c>
      <c r="B38" s="4" t="s">
        <v>127</v>
      </c>
      <c r="C38" s="4" t="s">
        <v>49</v>
      </c>
      <c r="D38" s="4" t="s">
        <v>50</v>
      </c>
      <c r="E38" s="4" t="n">
        <v>545.3</v>
      </c>
      <c r="F38" s="4" t="s">
        <v>46</v>
      </c>
      <c r="G38" s="4" t="n">
        <v>0</v>
      </c>
      <c r="H38" s="4" t="n">
        <v>0.531</v>
      </c>
      <c r="I38" s="4" t="n">
        <v>0.38</v>
      </c>
      <c r="J38" s="4" t="n">
        <v>58</v>
      </c>
      <c r="K38" s="4" t="n">
        <v>50</v>
      </c>
      <c r="L38" s="4" t="n">
        <v>0</v>
      </c>
      <c r="M38" s="4" t="n">
        <v>0</v>
      </c>
      <c r="N38" s="4" t="s">
        <v>41</v>
      </c>
    </row>
    <row r="39" customFormat="false" ht="15" hidden="false" customHeight="false" outlineLevel="0" collapsed="false">
      <c r="A39" s="4" t="s">
        <v>128</v>
      </c>
      <c r="B39" s="4" t="s">
        <v>129</v>
      </c>
      <c r="C39" s="4" t="s">
        <v>38</v>
      </c>
      <c r="D39" s="4" t="s">
        <v>56</v>
      </c>
      <c r="E39" s="4" t="n">
        <v>639.5</v>
      </c>
      <c r="F39" s="4" t="s">
        <v>46</v>
      </c>
      <c r="G39" s="4" t="n">
        <v>2</v>
      </c>
      <c r="H39" s="4" t="n">
        <v>0.77</v>
      </c>
      <c r="I39" s="4" t="n">
        <v>0.36</v>
      </c>
      <c r="J39" s="4" t="n">
        <v>72</v>
      </c>
      <c r="K39" s="4" t="n">
        <v>58</v>
      </c>
      <c r="L39" s="4" t="n">
        <v>1</v>
      </c>
      <c r="M39" s="4" t="n">
        <v>0</v>
      </c>
      <c r="N39" s="4" t="s">
        <v>41</v>
      </c>
    </row>
    <row r="40" customFormat="false" ht="15" hidden="false" customHeight="false" outlineLevel="0" collapsed="false">
      <c r="A40" s="4" t="s">
        <v>130</v>
      </c>
      <c r="B40" s="4" t="s">
        <v>131</v>
      </c>
      <c r="C40" s="4" t="s">
        <v>65</v>
      </c>
      <c r="D40" s="4" t="s">
        <v>50</v>
      </c>
      <c r="E40" s="4" t="n">
        <v>831.8</v>
      </c>
      <c r="F40" s="4" t="s">
        <v>46</v>
      </c>
      <c r="G40" s="4" t="n">
        <v>7</v>
      </c>
      <c r="H40" s="4" t="n">
        <v>0.434</v>
      </c>
      <c r="I40" s="4" t="n">
        <v>0.46</v>
      </c>
      <c r="J40" s="4" t="n">
        <v>83</v>
      </c>
      <c r="K40" s="4" t="n">
        <v>40</v>
      </c>
      <c r="L40" s="4" t="n">
        <v>4</v>
      </c>
      <c r="M40" s="4" t="n">
        <v>0</v>
      </c>
      <c r="N40" s="4" t="s">
        <v>52</v>
      </c>
    </row>
    <row r="41" customFormat="false" ht="15" hidden="false" customHeight="false" outlineLevel="0" collapsed="false">
      <c r="A41" s="4" t="s">
        <v>132</v>
      </c>
      <c r="B41" s="4" t="s">
        <v>133</v>
      </c>
      <c r="C41" s="4" t="s">
        <v>55</v>
      </c>
      <c r="D41" s="4" t="s">
        <v>59</v>
      </c>
      <c r="E41" s="4" t="n">
        <v>308.8</v>
      </c>
      <c r="F41" s="4" t="s">
        <v>46</v>
      </c>
      <c r="G41" s="4" t="n">
        <v>0</v>
      </c>
      <c r="H41" s="4" t="n">
        <v>0.741</v>
      </c>
      <c r="I41" s="4" t="n">
        <v>0.5</v>
      </c>
      <c r="J41" s="4" t="n">
        <v>63</v>
      </c>
      <c r="K41" s="4" t="n">
        <v>70</v>
      </c>
      <c r="L41" s="4" t="n">
        <v>0</v>
      </c>
      <c r="M41" s="4" t="n">
        <v>0</v>
      </c>
      <c r="N41" s="4" t="s">
        <v>41</v>
      </c>
    </row>
    <row r="42" customFormat="false" ht="15" hidden="false" customHeight="false" outlineLevel="0" collapsed="false">
      <c r="A42" s="4" t="s">
        <v>134</v>
      </c>
      <c r="B42" s="4" t="s">
        <v>135</v>
      </c>
      <c r="C42" s="4" t="s">
        <v>38</v>
      </c>
      <c r="D42" s="4" t="s">
        <v>45</v>
      </c>
      <c r="E42" s="4" t="n">
        <v>269.2</v>
      </c>
      <c r="F42" s="4" t="s">
        <v>40</v>
      </c>
      <c r="G42" s="4" t="n">
        <v>5</v>
      </c>
      <c r="H42" s="4" t="n">
        <v>0.241</v>
      </c>
      <c r="I42" s="4" t="n">
        <v>0.51</v>
      </c>
      <c r="J42" s="4" t="n">
        <v>71</v>
      </c>
      <c r="K42" s="4" t="n">
        <v>52</v>
      </c>
      <c r="L42" s="4" t="n">
        <v>4</v>
      </c>
      <c r="M42" s="4" t="n">
        <v>0</v>
      </c>
      <c r="N42" s="4" t="s">
        <v>41</v>
      </c>
    </row>
    <row r="43" customFormat="false" ht="15" hidden="false" customHeight="false" outlineLevel="0" collapsed="false">
      <c r="A43" s="4" t="s">
        <v>136</v>
      </c>
      <c r="B43" s="4" t="s">
        <v>137</v>
      </c>
      <c r="C43" s="4" t="s">
        <v>38</v>
      </c>
      <c r="D43" s="4" t="s">
        <v>73</v>
      </c>
      <c r="E43" s="4" t="n">
        <v>803.4</v>
      </c>
      <c r="F43" s="4" t="s">
        <v>46</v>
      </c>
      <c r="G43" s="4" t="n">
        <v>7</v>
      </c>
      <c r="H43" s="4" t="n">
        <v>0.549</v>
      </c>
      <c r="I43" s="4" t="n">
        <v>0.47</v>
      </c>
      <c r="J43" s="4" t="n">
        <v>71</v>
      </c>
      <c r="K43" s="4" t="n">
        <v>63</v>
      </c>
      <c r="L43" s="4" t="n">
        <v>6</v>
      </c>
      <c r="M43" s="4" t="n">
        <v>0</v>
      </c>
      <c r="N43" s="4" t="s">
        <v>52</v>
      </c>
    </row>
    <row r="44" customFormat="false" ht="15" hidden="false" customHeight="false" outlineLevel="0" collapsed="false">
      <c r="A44" s="4" t="s">
        <v>138</v>
      </c>
      <c r="B44" s="4" t="s">
        <v>139</v>
      </c>
      <c r="C44" s="4" t="s">
        <v>65</v>
      </c>
      <c r="D44" s="4" t="s">
        <v>39</v>
      </c>
      <c r="E44" s="4" t="n">
        <v>980.4</v>
      </c>
      <c r="F44" s="4" t="s">
        <v>51</v>
      </c>
      <c r="G44" s="4" t="n">
        <v>4</v>
      </c>
      <c r="H44" s="4" t="n">
        <v>1.593</v>
      </c>
      <c r="I44" s="4" t="n">
        <v>0.47</v>
      </c>
      <c r="J44" s="4" t="n">
        <v>71</v>
      </c>
      <c r="K44" s="4" t="n">
        <v>40</v>
      </c>
      <c r="L44" s="4" t="n">
        <v>2</v>
      </c>
      <c r="M44" s="4" t="n">
        <v>0</v>
      </c>
      <c r="N44" s="4" t="s">
        <v>41</v>
      </c>
    </row>
    <row r="45" customFormat="false" ht="15" hidden="false" customHeight="false" outlineLevel="0" collapsed="false">
      <c r="A45" s="4" t="s">
        <v>140</v>
      </c>
      <c r="B45" s="4" t="s">
        <v>141</v>
      </c>
      <c r="C45" s="4" t="s">
        <v>49</v>
      </c>
      <c r="D45" s="4" t="s">
        <v>45</v>
      </c>
      <c r="E45" s="4" t="n">
        <v>6237.2</v>
      </c>
      <c r="F45" s="4" t="s">
        <v>66</v>
      </c>
      <c r="G45" s="4" t="n">
        <v>17</v>
      </c>
      <c r="H45" s="4" t="n">
        <v>2.192</v>
      </c>
      <c r="I45" s="4" t="n">
        <v>0.67</v>
      </c>
      <c r="J45" s="4" t="n">
        <v>94</v>
      </c>
      <c r="K45" s="4" t="n">
        <v>46</v>
      </c>
      <c r="L45" s="4" t="n">
        <v>7</v>
      </c>
      <c r="M45" s="4" t="n">
        <v>1</v>
      </c>
      <c r="N45" s="4" t="s">
        <v>52</v>
      </c>
    </row>
    <row r="46" customFormat="false" ht="15" hidden="false" customHeight="false" outlineLevel="0" collapsed="false">
      <c r="A46" s="4" t="s">
        <v>142</v>
      </c>
      <c r="B46" s="4" t="s">
        <v>143</v>
      </c>
      <c r="C46" s="4" t="s">
        <v>55</v>
      </c>
      <c r="D46" s="4" t="s">
        <v>73</v>
      </c>
      <c r="E46" s="4" t="n">
        <v>1856.5</v>
      </c>
      <c r="F46" s="4" t="s">
        <v>51</v>
      </c>
      <c r="G46" s="4" t="n">
        <v>5</v>
      </c>
      <c r="H46" s="4" t="n">
        <v>0.807</v>
      </c>
      <c r="I46" s="4" t="n">
        <v>0.67</v>
      </c>
      <c r="J46" s="4" t="n">
        <v>83</v>
      </c>
      <c r="K46" s="4" t="n">
        <v>30</v>
      </c>
      <c r="L46" s="4" t="n">
        <v>3</v>
      </c>
      <c r="M46" s="4" t="n">
        <v>1</v>
      </c>
      <c r="N46" s="4" t="s">
        <v>52</v>
      </c>
    </row>
    <row r="47" customFormat="false" ht="15" hidden="false" customHeight="false" outlineLevel="0" collapsed="false">
      <c r="A47" s="4" t="s">
        <v>144</v>
      </c>
      <c r="B47" s="4" t="s">
        <v>145</v>
      </c>
      <c r="C47" s="4" t="s">
        <v>49</v>
      </c>
      <c r="D47" s="4" t="s">
        <v>45</v>
      </c>
      <c r="E47" s="4" t="n">
        <v>2040.8</v>
      </c>
      <c r="F47" s="4" t="s">
        <v>51</v>
      </c>
      <c r="G47" s="4" t="n">
        <v>8</v>
      </c>
      <c r="H47" s="4" t="n">
        <v>1.604</v>
      </c>
      <c r="I47" s="4" t="n">
        <v>0.45</v>
      </c>
      <c r="J47" s="4" t="n">
        <v>100</v>
      </c>
      <c r="K47" s="4" t="n">
        <v>15</v>
      </c>
      <c r="L47" s="4" t="n">
        <v>2</v>
      </c>
      <c r="M47" s="4" t="n">
        <v>0</v>
      </c>
      <c r="N47" s="4" t="s">
        <v>52</v>
      </c>
    </row>
    <row r="48" customFormat="false" ht="15" hidden="false" customHeight="false" outlineLevel="0" collapsed="false">
      <c r="A48" s="4" t="s">
        <v>146</v>
      </c>
      <c r="B48" s="4" t="s">
        <v>147</v>
      </c>
      <c r="C48" s="4" t="s">
        <v>44</v>
      </c>
      <c r="D48" s="4" t="s">
        <v>39</v>
      </c>
      <c r="E48" s="4" t="n">
        <v>2250</v>
      </c>
      <c r="F48" s="4" t="s">
        <v>51</v>
      </c>
      <c r="G48" s="4" t="n">
        <v>7</v>
      </c>
      <c r="H48" s="4" t="n">
        <v>1.945</v>
      </c>
      <c r="I48" s="4" t="n">
        <v>0.42</v>
      </c>
      <c r="J48" s="4" t="n">
        <v>80</v>
      </c>
      <c r="K48" s="4" t="n">
        <v>52</v>
      </c>
      <c r="L48" s="4" t="n">
        <v>4</v>
      </c>
      <c r="M48" s="4" t="n">
        <v>0</v>
      </c>
      <c r="N48" s="4" t="s">
        <v>52</v>
      </c>
    </row>
    <row r="49" customFormat="false" ht="15" hidden="false" customHeight="false" outlineLevel="0" collapsed="false">
      <c r="A49" s="4" t="s">
        <v>148</v>
      </c>
      <c r="B49" s="4" t="s">
        <v>149</v>
      </c>
      <c r="C49" s="4" t="s">
        <v>55</v>
      </c>
      <c r="D49" s="4" t="s">
        <v>73</v>
      </c>
      <c r="E49" s="4" t="n">
        <v>3292.2</v>
      </c>
      <c r="F49" s="4" t="s">
        <v>66</v>
      </c>
      <c r="G49" s="4" t="n">
        <v>7</v>
      </c>
      <c r="H49" s="4" t="n">
        <v>1.284</v>
      </c>
      <c r="I49" s="4" t="n">
        <v>0.67</v>
      </c>
      <c r="J49" s="4" t="n">
        <v>100</v>
      </c>
      <c r="K49" s="4" t="n">
        <v>15</v>
      </c>
      <c r="L49" s="4" t="n">
        <v>3</v>
      </c>
      <c r="M49" s="4" t="n">
        <v>1</v>
      </c>
      <c r="N49" s="4" t="s">
        <v>52</v>
      </c>
    </row>
    <row r="50" customFormat="false" ht="15" hidden="false" customHeight="false" outlineLevel="0" collapsed="false">
      <c r="A50" s="4" t="s">
        <v>150</v>
      </c>
      <c r="B50" s="4" t="s">
        <v>151</v>
      </c>
      <c r="C50" s="4" t="s">
        <v>49</v>
      </c>
      <c r="D50" s="4" t="s">
        <v>50</v>
      </c>
      <c r="E50" s="4" t="n">
        <v>837.4</v>
      </c>
      <c r="F50" s="4" t="s">
        <v>46</v>
      </c>
      <c r="G50" s="4" t="n">
        <v>8</v>
      </c>
      <c r="H50" s="4" t="n">
        <v>0.729</v>
      </c>
      <c r="I50" s="4" t="n">
        <v>0.46</v>
      </c>
      <c r="J50" s="4" t="n">
        <v>87</v>
      </c>
      <c r="K50" s="4" t="n">
        <v>58</v>
      </c>
      <c r="L50" s="4" t="n">
        <v>6</v>
      </c>
      <c r="M50" s="4" t="n">
        <v>0</v>
      </c>
      <c r="N50" s="4" t="s">
        <v>52</v>
      </c>
    </row>
    <row r="51" customFormat="false" ht="15" hidden="false" customHeight="false" outlineLevel="0" collapsed="false">
      <c r="A51" s="4" t="s">
        <v>152</v>
      </c>
      <c r="B51" s="4" t="s">
        <v>153</v>
      </c>
      <c r="C51" s="4" t="s">
        <v>44</v>
      </c>
      <c r="D51" s="4" t="s">
        <v>50</v>
      </c>
      <c r="E51" s="4" t="n">
        <v>123.8</v>
      </c>
      <c r="F51" s="4" t="s">
        <v>40</v>
      </c>
      <c r="G51" s="4" t="n">
        <v>11</v>
      </c>
      <c r="H51" s="4" t="n">
        <v>0.47</v>
      </c>
      <c r="I51" s="4" t="n">
        <v>0.43</v>
      </c>
      <c r="J51" s="4" t="n">
        <v>61</v>
      </c>
      <c r="K51" s="4" t="n">
        <v>77</v>
      </c>
      <c r="L51" s="4" t="n">
        <v>4</v>
      </c>
      <c r="M51" s="4" t="n">
        <v>0</v>
      </c>
      <c r="N51" s="4" t="s">
        <v>41</v>
      </c>
    </row>
    <row r="52" customFormat="false" ht="15" hidden="false" customHeight="false" outlineLevel="0" collapsed="false">
      <c r="A52" s="4" t="s">
        <v>154</v>
      </c>
      <c r="B52" s="4" t="s">
        <v>155</v>
      </c>
      <c r="C52" s="4" t="s">
        <v>62</v>
      </c>
      <c r="D52" s="4" t="s">
        <v>56</v>
      </c>
      <c r="E52" s="4" t="n">
        <v>6807.2</v>
      </c>
      <c r="F52" s="4" t="s">
        <v>66</v>
      </c>
      <c r="G52" s="4" t="n">
        <v>19</v>
      </c>
      <c r="H52" s="4" t="n">
        <v>0.848</v>
      </c>
      <c r="I52" s="4" t="n">
        <v>0.53</v>
      </c>
      <c r="J52" s="4" t="n">
        <v>89</v>
      </c>
      <c r="K52" s="4" t="n">
        <v>30</v>
      </c>
      <c r="L52" s="4" t="n">
        <v>9</v>
      </c>
      <c r="M52" s="4" t="n">
        <v>1</v>
      </c>
      <c r="N52" s="4" t="s">
        <v>52</v>
      </c>
    </row>
    <row r="53" customFormat="false" ht="15" hidden="false" customHeight="false" outlineLevel="0" collapsed="false">
      <c r="A53" s="4" t="s">
        <v>156</v>
      </c>
      <c r="B53" s="4" t="s">
        <v>157</v>
      </c>
      <c r="C53" s="4" t="s">
        <v>38</v>
      </c>
      <c r="D53" s="4" t="s">
        <v>59</v>
      </c>
      <c r="E53" s="4" t="n">
        <v>654.4</v>
      </c>
      <c r="F53" s="4" t="s">
        <v>46</v>
      </c>
      <c r="G53" s="4" t="n">
        <v>3</v>
      </c>
      <c r="H53" s="4" t="n">
        <v>0.951</v>
      </c>
      <c r="I53" s="4" t="n">
        <v>0.53</v>
      </c>
      <c r="J53" s="4" t="n">
        <v>94</v>
      </c>
      <c r="K53" s="4" t="n">
        <v>30</v>
      </c>
      <c r="L53" s="4" t="n">
        <v>3</v>
      </c>
      <c r="M53" s="4" t="n">
        <v>0</v>
      </c>
      <c r="N53" s="4" t="s">
        <v>52</v>
      </c>
    </row>
    <row r="54" customFormat="false" ht="15" hidden="false" customHeight="false" outlineLevel="0" collapsed="false">
      <c r="A54" s="4" t="s">
        <v>158</v>
      </c>
      <c r="B54" s="4" t="s">
        <v>159</v>
      </c>
      <c r="C54" s="4" t="s">
        <v>49</v>
      </c>
      <c r="D54" s="4" t="s">
        <v>73</v>
      </c>
      <c r="E54" s="4" t="n">
        <v>211.4</v>
      </c>
      <c r="F54" s="4" t="s">
        <v>40</v>
      </c>
      <c r="G54" s="4" t="n">
        <v>1</v>
      </c>
      <c r="H54" s="4" t="n">
        <v>0.64</v>
      </c>
      <c r="I54" s="4" t="n">
        <v>0.42</v>
      </c>
      <c r="J54" s="4" t="n">
        <v>76</v>
      </c>
      <c r="K54" s="4" t="n">
        <v>39</v>
      </c>
      <c r="L54" s="4" t="n">
        <v>1</v>
      </c>
      <c r="M54" s="4" t="n">
        <v>0</v>
      </c>
      <c r="N54" s="4" t="s">
        <v>41</v>
      </c>
    </row>
    <row r="55" customFormat="false" ht="15" hidden="false" customHeight="false" outlineLevel="0" collapsed="false">
      <c r="A55" s="4" t="s">
        <v>160</v>
      </c>
      <c r="B55" s="4" t="s">
        <v>161</v>
      </c>
      <c r="C55" s="4" t="s">
        <v>55</v>
      </c>
      <c r="D55" s="4" t="s">
        <v>59</v>
      </c>
      <c r="E55" s="4" t="n">
        <v>108.5</v>
      </c>
      <c r="F55" s="4" t="s">
        <v>40</v>
      </c>
      <c r="G55" s="4" t="n">
        <v>1</v>
      </c>
      <c r="H55" s="4" t="n">
        <v>0.109</v>
      </c>
      <c r="I55" s="4" t="n">
        <v>0.51</v>
      </c>
      <c r="J55" s="4" t="n">
        <v>57</v>
      </c>
      <c r="K55" s="4" t="n">
        <v>60</v>
      </c>
      <c r="L55" s="4" t="n">
        <v>1</v>
      </c>
      <c r="M55" s="4" t="n">
        <v>0</v>
      </c>
      <c r="N55" s="4" t="s">
        <v>41</v>
      </c>
    </row>
    <row r="56" customFormat="false" ht="15" hidden="false" customHeight="false" outlineLevel="0" collapsed="false">
      <c r="A56" s="4" t="s">
        <v>162</v>
      </c>
      <c r="B56" s="4" t="s">
        <v>163</v>
      </c>
      <c r="C56" s="4" t="s">
        <v>62</v>
      </c>
      <c r="D56" s="4" t="s">
        <v>59</v>
      </c>
      <c r="E56" s="4" t="n">
        <v>4242.1</v>
      </c>
      <c r="F56" s="4" t="s">
        <v>66</v>
      </c>
      <c r="G56" s="4" t="n">
        <v>11</v>
      </c>
      <c r="H56" s="4" t="n">
        <v>0.103</v>
      </c>
      <c r="I56" s="4" t="n">
        <v>0.42</v>
      </c>
      <c r="J56" s="4" t="n">
        <v>91</v>
      </c>
      <c r="K56" s="4" t="n">
        <v>36</v>
      </c>
      <c r="L56" s="4" t="n">
        <v>7</v>
      </c>
      <c r="M56" s="4" t="n">
        <v>0</v>
      </c>
      <c r="N56" s="4" t="s">
        <v>52</v>
      </c>
    </row>
    <row r="57" customFormat="false" ht="15" hidden="false" customHeight="false" outlineLevel="0" collapsed="false">
      <c r="A57" s="4" t="s">
        <v>164</v>
      </c>
      <c r="B57" s="4" t="s">
        <v>165</v>
      </c>
      <c r="C57" s="4" t="s">
        <v>62</v>
      </c>
      <c r="D57" s="4" t="s">
        <v>73</v>
      </c>
      <c r="E57" s="4" t="n">
        <v>2305</v>
      </c>
      <c r="F57" s="4" t="s">
        <v>51</v>
      </c>
      <c r="G57" s="4" t="n">
        <v>5</v>
      </c>
      <c r="H57" s="4" t="n">
        <v>1.16</v>
      </c>
      <c r="I57" s="4" t="n">
        <v>0.54</v>
      </c>
      <c r="J57" s="4" t="n">
        <v>87</v>
      </c>
      <c r="K57" s="4" t="n">
        <v>40</v>
      </c>
      <c r="L57" s="4" t="n">
        <v>3</v>
      </c>
      <c r="M57" s="4" t="n">
        <v>1</v>
      </c>
      <c r="N57" s="4" t="s">
        <v>52</v>
      </c>
    </row>
    <row r="58" customFormat="false" ht="15" hidden="false" customHeight="false" outlineLevel="0" collapsed="false">
      <c r="A58" s="4" t="s">
        <v>166</v>
      </c>
      <c r="B58" s="4" t="s">
        <v>167</v>
      </c>
      <c r="C58" s="4" t="s">
        <v>65</v>
      </c>
      <c r="D58" s="4" t="s">
        <v>45</v>
      </c>
      <c r="E58" s="4" t="n">
        <v>8512.9</v>
      </c>
      <c r="F58" s="4" t="s">
        <v>66</v>
      </c>
      <c r="G58" s="4" t="n">
        <v>7</v>
      </c>
      <c r="H58" s="4" t="n">
        <v>1.409</v>
      </c>
      <c r="I58" s="4" t="n">
        <v>0.7</v>
      </c>
      <c r="J58" s="4" t="n">
        <v>79</v>
      </c>
      <c r="K58" s="4" t="n">
        <v>18</v>
      </c>
      <c r="L58" s="4" t="n">
        <v>6</v>
      </c>
      <c r="M58" s="4" t="n">
        <v>1</v>
      </c>
      <c r="N58" s="4" t="s">
        <v>52</v>
      </c>
    </row>
    <row r="59" customFormat="false" ht="15" hidden="false" customHeight="false" outlineLevel="0" collapsed="false">
      <c r="A59" s="4" t="s">
        <v>168</v>
      </c>
      <c r="B59" s="4" t="s">
        <v>169</v>
      </c>
      <c r="C59" s="4" t="s">
        <v>49</v>
      </c>
      <c r="D59" s="4" t="s">
        <v>50</v>
      </c>
      <c r="E59" s="4" t="n">
        <v>6714.7</v>
      </c>
      <c r="F59" s="4" t="s">
        <v>66</v>
      </c>
      <c r="G59" s="4" t="n">
        <v>10</v>
      </c>
      <c r="H59" s="4" t="n">
        <v>0.932</v>
      </c>
      <c r="I59" s="4" t="n">
        <v>0.63</v>
      </c>
      <c r="J59" s="4" t="n">
        <v>83</v>
      </c>
      <c r="K59" s="4" t="n">
        <v>57</v>
      </c>
      <c r="L59" s="4" t="n">
        <v>7</v>
      </c>
      <c r="M59" s="4" t="n">
        <v>0</v>
      </c>
      <c r="N59" s="4" t="s">
        <v>52</v>
      </c>
    </row>
    <row r="60" customFormat="false" ht="15" hidden="false" customHeight="false" outlineLevel="0" collapsed="false">
      <c r="A60" s="4" t="s">
        <v>170</v>
      </c>
      <c r="B60" s="4" t="s">
        <v>171</v>
      </c>
      <c r="C60" s="4" t="s">
        <v>55</v>
      </c>
      <c r="D60" s="4" t="s">
        <v>39</v>
      </c>
      <c r="E60" s="4" t="n">
        <v>198.1</v>
      </c>
      <c r="F60" s="4" t="s">
        <v>40</v>
      </c>
      <c r="G60" s="4" t="n">
        <v>10</v>
      </c>
      <c r="H60" s="4" t="n">
        <v>0.072</v>
      </c>
      <c r="I60" s="4" t="n">
        <v>0.32</v>
      </c>
      <c r="J60" s="4" t="n">
        <v>70</v>
      </c>
      <c r="K60" s="4" t="n">
        <v>53</v>
      </c>
      <c r="L60" s="4" t="n">
        <v>6</v>
      </c>
      <c r="M60" s="4" t="n">
        <v>0</v>
      </c>
      <c r="N60" s="4" t="s">
        <v>52</v>
      </c>
    </row>
    <row r="61" customFormat="false" ht="15" hidden="false" customHeight="false" outlineLevel="0" collapsed="false">
      <c r="A61" s="4" t="s">
        <v>172</v>
      </c>
      <c r="B61" s="4" t="s">
        <v>173</v>
      </c>
      <c r="C61" s="4" t="s">
        <v>38</v>
      </c>
      <c r="D61" s="4" t="s">
        <v>73</v>
      </c>
      <c r="E61" s="4" t="n">
        <v>743.1</v>
      </c>
      <c r="F61" s="4" t="s">
        <v>46</v>
      </c>
      <c r="G61" s="4" t="n">
        <v>6</v>
      </c>
      <c r="H61" s="4" t="n">
        <v>1.191</v>
      </c>
      <c r="I61" s="4" t="n">
        <v>0.45</v>
      </c>
      <c r="J61" s="4" t="n">
        <v>66</v>
      </c>
      <c r="K61" s="4" t="n">
        <v>57</v>
      </c>
      <c r="L61" s="4" t="n">
        <v>6</v>
      </c>
      <c r="M61" s="4" t="n">
        <v>0</v>
      </c>
      <c r="N61" s="4" t="s">
        <v>52</v>
      </c>
    </row>
    <row r="62" customFormat="false" ht="15" hidden="false" customHeight="false" outlineLevel="0" collapsed="false">
      <c r="A62" s="4" t="s">
        <v>174</v>
      </c>
      <c r="B62" s="4" t="s">
        <v>175</v>
      </c>
      <c r="C62" s="4" t="s">
        <v>49</v>
      </c>
      <c r="D62" s="4" t="s">
        <v>56</v>
      </c>
      <c r="E62" s="4" t="n">
        <v>195.2</v>
      </c>
      <c r="F62" s="4" t="s">
        <v>40</v>
      </c>
      <c r="G62" s="4" t="n">
        <v>5</v>
      </c>
      <c r="H62" s="4" t="n">
        <v>1.012</v>
      </c>
      <c r="I62" s="4" t="n">
        <v>0.45</v>
      </c>
      <c r="J62" s="4" t="n">
        <v>54</v>
      </c>
      <c r="K62" s="4" t="n">
        <v>71</v>
      </c>
      <c r="L62" s="4" t="n">
        <v>3</v>
      </c>
      <c r="M62" s="4" t="n">
        <v>0</v>
      </c>
      <c r="N62" s="4" t="s">
        <v>41</v>
      </c>
    </row>
    <row r="63" customFormat="false" ht="15" hidden="false" customHeight="false" outlineLevel="0" collapsed="false">
      <c r="A63" s="4" t="s">
        <v>176</v>
      </c>
      <c r="B63" s="4" t="s">
        <v>177</v>
      </c>
      <c r="C63" s="4" t="s">
        <v>55</v>
      </c>
      <c r="D63" s="4" t="s">
        <v>59</v>
      </c>
      <c r="E63" s="4" t="n">
        <v>1356.6</v>
      </c>
      <c r="F63" s="4" t="s">
        <v>51</v>
      </c>
      <c r="G63" s="4" t="n">
        <v>9</v>
      </c>
      <c r="H63" s="4" t="n">
        <v>0.316</v>
      </c>
      <c r="I63" s="4" t="n">
        <v>0.44</v>
      </c>
      <c r="J63" s="4" t="n">
        <v>80</v>
      </c>
      <c r="K63" s="4" t="n">
        <v>42</v>
      </c>
      <c r="L63" s="4" t="n">
        <v>3</v>
      </c>
      <c r="M63" s="4" t="n">
        <v>0</v>
      </c>
      <c r="N63" s="4" t="s">
        <v>41</v>
      </c>
    </row>
    <row r="64" customFormat="false" ht="15" hidden="false" customHeight="false" outlineLevel="0" collapsed="false">
      <c r="A64" s="4" t="s">
        <v>178</v>
      </c>
      <c r="B64" s="4" t="s">
        <v>179</v>
      </c>
      <c r="C64" s="4" t="s">
        <v>55</v>
      </c>
      <c r="D64" s="4" t="s">
        <v>45</v>
      </c>
      <c r="E64" s="4" t="n">
        <v>389.6</v>
      </c>
      <c r="F64" s="4" t="s">
        <v>46</v>
      </c>
      <c r="G64" s="4" t="n">
        <v>0</v>
      </c>
      <c r="H64" s="4" t="n">
        <v>0.59</v>
      </c>
      <c r="I64" s="4" t="n">
        <v>0.35</v>
      </c>
      <c r="J64" s="4" t="n">
        <v>71</v>
      </c>
      <c r="K64" s="4" t="n">
        <v>63</v>
      </c>
      <c r="L64" s="4" t="n">
        <v>0</v>
      </c>
      <c r="M64" s="4" t="n">
        <v>0</v>
      </c>
      <c r="N64" s="4" t="s">
        <v>41</v>
      </c>
    </row>
    <row r="65" customFormat="false" ht="15" hidden="false" customHeight="false" outlineLevel="0" collapsed="false">
      <c r="A65" s="4" t="s">
        <v>180</v>
      </c>
      <c r="B65" s="4" t="s">
        <v>181</v>
      </c>
      <c r="C65" s="4" t="s">
        <v>55</v>
      </c>
      <c r="D65" s="4" t="s">
        <v>73</v>
      </c>
      <c r="E65" s="4" t="n">
        <v>610.2</v>
      </c>
      <c r="F65" s="4" t="s">
        <v>46</v>
      </c>
      <c r="G65" s="4" t="n">
        <v>13</v>
      </c>
      <c r="H65" s="4" t="n">
        <v>1.045</v>
      </c>
      <c r="I65" s="4" t="n">
        <v>0.47</v>
      </c>
      <c r="J65" s="4" t="n">
        <v>87</v>
      </c>
      <c r="K65" s="4" t="n">
        <v>21</v>
      </c>
      <c r="L65" s="4" t="n">
        <v>6</v>
      </c>
      <c r="M65" s="4" t="n">
        <v>0</v>
      </c>
      <c r="N65" s="4" t="s">
        <v>52</v>
      </c>
    </row>
    <row r="66" customFormat="false" ht="15" hidden="false" customHeight="false" outlineLevel="0" collapsed="false">
      <c r="A66" s="4" t="s">
        <v>182</v>
      </c>
      <c r="B66" s="4" t="s">
        <v>183</v>
      </c>
      <c r="C66" s="4" t="s">
        <v>44</v>
      </c>
      <c r="D66" s="4" t="s">
        <v>59</v>
      </c>
      <c r="E66" s="4" t="n">
        <v>941.7</v>
      </c>
      <c r="F66" s="4" t="s">
        <v>51</v>
      </c>
      <c r="G66" s="4" t="n">
        <v>16</v>
      </c>
      <c r="H66" s="4" t="n">
        <v>1.5</v>
      </c>
      <c r="I66" s="4" t="n">
        <v>0.53</v>
      </c>
      <c r="J66" s="4" t="n">
        <v>84</v>
      </c>
      <c r="K66" s="4" t="n">
        <v>37</v>
      </c>
      <c r="L66" s="4" t="n">
        <v>10</v>
      </c>
      <c r="M66" s="4" t="n">
        <v>0</v>
      </c>
      <c r="N66" s="4" t="s">
        <v>52</v>
      </c>
    </row>
    <row r="67" customFormat="false" ht="15" hidden="false" customHeight="false" outlineLevel="0" collapsed="false">
      <c r="A67" s="4" t="s">
        <v>184</v>
      </c>
      <c r="B67" s="4" t="s">
        <v>185</v>
      </c>
      <c r="C67" s="4" t="s">
        <v>49</v>
      </c>
      <c r="D67" s="4" t="s">
        <v>45</v>
      </c>
      <c r="E67" s="4" t="n">
        <v>861.2</v>
      </c>
      <c r="F67" s="4" t="s">
        <v>46</v>
      </c>
      <c r="G67" s="4" t="n">
        <v>1</v>
      </c>
      <c r="H67" s="4" t="n">
        <v>0.837</v>
      </c>
      <c r="I67" s="4" t="n">
        <v>0.48</v>
      </c>
      <c r="J67" s="4" t="n">
        <v>77</v>
      </c>
      <c r="K67" s="4" t="n">
        <v>43</v>
      </c>
      <c r="L67" s="4" t="n">
        <v>1</v>
      </c>
      <c r="M67" s="4" t="n">
        <v>0</v>
      </c>
      <c r="N67" s="4" t="s">
        <v>41</v>
      </c>
    </row>
    <row r="68" customFormat="false" ht="15" hidden="false" customHeight="false" outlineLevel="0" collapsed="false">
      <c r="A68" s="4" t="s">
        <v>186</v>
      </c>
      <c r="B68" s="4" t="s">
        <v>187</v>
      </c>
      <c r="C68" s="4" t="s">
        <v>49</v>
      </c>
      <c r="D68" s="4" t="s">
        <v>59</v>
      </c>
      <c r="E68" s="4" t="n">
        <v>2256.3</v>
      </c>
      <c r="F68" s="4" t="s">
        <v>51</v>
      </c>
      <c r="G68" s="4" t="n">
        <v>8</v>
      </c>
      <c r="H68" s="4" t="n">
        <v>0.697</v>
      </c>
      <c r="I68" s="4" t="n">
        <v>0.57</v>
      </c>
      <c r="J68" s="4" t="n">
        <v>74</v>
      </c>
      <c r="K68" s="4" t="n">
        <v>41</v>
      </c>
      <c r="L68" s="4" t="n">
        <v>6</v>
      </c>
      <c r="M68" s="4" t="n">
        <v>1</v>
      </c>
      <c r="N68" s="4" t="s">
        <v>52</v>
      </c>
    </row>
    <row r="69" customFormat="false" ht="15" hidden="false" customHeight="false" outlineLevel="0" collapsed="false">
      <c r="A69" s="4" t="s">
        <v>188</v>
      </c>
      <c r="B69" s="4" t="s">
        <v>189</v>
      </c>
      <c r="C69" s="4" t="s">
        <v>65</v>
      </c>
      <c r="D69" s="4" t="s">
        <v>45</v>
      </c>
      <c r="E69" s="4" t="n">
        <v>207.5</v>
      </c>
      <c r="F69" s="4" t="s">
        <v>40</v>
      </c>
      <c r="G69" s="4" t="n">
        <v>0</v>
      </c>
      <c r="H69" s="4" t="n">
        <v>0.93</v>
      </c>
      <c r="I69" s="4" t="n">
        <v>0.38</v>
      </c>
      <c r="J69" s="4" t="n">
        <v>49</v>
      </c>
      <c r="K69" s="4" t="n">
        <v>70</v>
      </c>
      <c r="L69" s="4" t="n">
        <v>0</v>
      </c>
      <c r="M69" s="4" t="n">
        <v>0</v>
      </c>
      <c r="N69" s="4" t="s">
        <v>41</v>
      </c>
    </row>
    <row r="70" customFormat="false" ht="15" hidden="false" customHeight="false" outlineLevel="0" collapsed="false">
      <c r="A70" s="4" t="s">
        <v>190</v>
      </c>
      <c r="B70" s="4" t="s">
        <v>191</v>
      </c>
      <c r="C70" s="4" t="s">
        <v>65</v>
      </c>
      <c r="D70" s="4" t="s">
        <v>45</v>
      </c>
      <c r="E70" s="4" t="n">
        <v>266.8</v>
      </c>
      <c r="F70" s="4" t="s">
        <v>40</v>
      </c>
      <c r="G70" s="4" t="n">
        <v>0</v>
      </c>
      <c r="H70" s="4" t="n">
        <v>0.686</v>
      </c>
      <c r="I70" s="4" t="n">
        <v>0.51</v>
      </c>
      <c r="J70" s="4" t="n">
        <v>56</v>
      </c>
      <c r="K70" s="4" t="n">
        <v>66</v>
      </c>
      <c r="L70" s="4" t="n">
        <v>0</v>
      </c>
      <c r="M70" s="4" t="n">
        <v>0</v>
      </c>
      <c r="N70" s="4" t="s">
        <v>41</v>
      </c>
    </row>
    <row r="71" customFormat="false" ht="15" hidden="false" customHeight="false" outlineLevel="0" collapsed="false">
      <c r="A71" s="4" t="s">
        <v>192</v>
      </c>
      <c r="B71" s="4" t="s">
        <v>193</v>
      </c>
      <c r="C71" s="4" t="s">
        <v>38</v>
      </c>
      <c r="D71" s="4" t="s">
        <v>59</v>
      </c>
      <c r="E71" s="4" t="n">
        <v>625.4</v>
      </c>
      <c r="F71" s="4" t="s">
        <v>46</v>
      </c>
      <c r="G71" s="4" t="n">
        <v>1</v>
      </c>
      <c r="H71" s="4" t="n">
        <v>0.39</v>
      </c>
      <c r="I71" s="4" t="n">
        <v>0.4</v>
      </c>
      <c r="J71" s="4" t="n">
        <v>83</v>
      </c>
      <c r="K71" s="4" t="n">
        <v>30</v>
      </c>
      <c r="L71" s="4" t="n">
        <v>1</v>
      </c>
      <c r="M71" s="4" t="n">
        <v>0</v>
      </c>
      <c r="N71" s="4" t="s">
        <v>41</v>
      </c>
    </row>
    <row r="72" customFormat="false" ht="15" hidden="false" customHeight="false" outlineLevel="0" collapsed="false">
      <c r="A72" s="4" t="s">
        <v>194</v>
      </c>
      <c r="B72" s="4" t="s">
        <v>195</v>
      </c>
      <c r="C72" s="4" t="s">
        <v>55</v>
      </c>
      <c r="D72" s="4" t="s">
        <v>59</v>
      </c>
      <c r="E72" s="4" t="n">
        <v>229</v>
      </c>
      <c r="F72" s="4" t="s">
        <v>40</v>
      </c>
      <c r="G72" s="4" t="n">
        <v>17</v>
      </c>
      <c r="H72" s="4" t="n">
        <v>1.023</v>
      </c>
      <c r="I72" s="4" t="n">
        <v>0.47</v>
      </c>
      <c r="J72" s="4" t="n">
        <v>63</v>
      </c>
      <c r="K72" s="4" t="n">
        <v>44</v>
      </c>
      <c r="L72" s="4" t="n">
        <v>6</v>
      </c>
      <c r="M72" s="4" t="n">
        <v>0</v>
      </c>
      <c r="N72" s="4" t="s">
        <v>52</v>
      </c>
    </row>
    <row r="73" customFormat="false" ht="15" hidden="false" customHeight="false" outlineLevel="0" collapsed="false">
      <c r="A73" s="4" t="s">
        <v>196</v>
      </c>
      <c r="B73" s="4" t="s">
        <v>197</v>
      </c>
      <c r="C73" s="4" t="s">
        <v>49</v>
      </c>
      <c r="D73" s="4" t="s">
        <v>59</v>
      </c>
      <c r="E73" s="4" t="n">
        <v>447.2</v>
      </c>
      <c r="F73" s="4" t="s">
        <v>46</v>
      </c>
      <c r="G73" s="4" t="n">
        <v>12</v>
      </c>
      <c r="H73" s="4" t="n">
        <v>0.195</v>
      </c>
      <c r="I73" s="4" t="n">
        <v>0.49</v>
      </c>
      <c r="J73" s="4" t="n">
        <v>78</v>
      </c>
      <c r="K73" s="4" t="n">
        <v>39</v>
      </c>
      <c r="L73" s="4" t="n">
        <v>5</v>
      </c>
      <c r="M73" s="4" t="n">
        <v>0</v>
      </c>
      <c r="N73" s="4" t="s">
        <v>52</v>
      </c>
    </row>
    <row r="74" customFormat="false" ht="15" hidden="false" customHeight="false" outlineLevel="0" collapsed="false">
      <c r="A74" s="4" t="s">
        <v>198</v>
      </c>
      <c r="B74" s="4" t="s">
        <v>199</v>
      </c>
      <c r="C74" s="4" t="s">
        <v>55</v>
      </c>
      <c r="D74" s="4" t="s">
        <v>56</v>
      </c>
      <c r="E74" s="4" t="n">
        <v>119.4</v>
      </c>
      <c r="F74" s="4" t="s">
        <v>40</v>
      </c>
      <c r="G74" s="4" t="n">
        <v>3</v>
      </c>
      <c r="H74" s="4" t="n">
        <v>0.585</v>
      </c>
      <c r="I74" s="4" t="n">
        <v>0.48</v>
      </c>
      <c r="J74" s="4" t="n">
        <v>66</v>
      </c>
      <c r="K74" s="4" t="n">
        <v>62</v>
      </c>
      <c r="L74" s="4" t="n">
        <v>4</v>
      </c>
      <c r="M74" s="4" t="n">
        <v>0</v>
      </c>
      <c r="N74" s="4" t="s">
        <v>41</v>
      </c>
    </row>
    <row r="75" customFormat="false" ht="15" hidden="false" customHeight="false" outlineLevel="0" collapsed="false">
      <c r="A75" s="4" t="s">
        <v>200</v>
      </c>
      <c r="B75" s="4" t="s">
        <v>201</v>
      </c>
      <c r="C75" s="4" t="s">
        <v>38</v>
      </c>
      <c r="D75" s="4" t="s">
        <v>59</v>
      </c>
      <c r="E75" s="4" t="n">
        <v>2373</v>
      </c>
      <c r="F75" s="4" t="s">
        <v>51</v>
      </c>
      <c r="G75" s="4" t="n">
        <v>0</v>
      </c>
      <c r="H75" s="4" t="n">
        <v>0.885</v>
      </c>
      <c r="I75" s="4" t="n">
        <v>0.48</v>
      </c>
      <c r="J75" s="4" t="n">
        <v>71</v>
      </c>
      <c r="K75" s="4" t="n">
        <v>53</v>
      </c>
      <c r="L75" s="4" t="n">
        <v>0</v>
      </c>
      <c r="M75" s="4" t="n">
        <v>0</v>
      </c>
      <c r="N75" s="4" t="s">
        <v>41</v>
      </c>
    </row>
    <row r="76" customFormat="false" ht="15" hidden="false" customHeight="false" outlineLevel="0" collapsed="false">
      <c r="A76" s="4" t="s">
        <v>202</v>
      </c>
      <c r="B76" s="4" t="s">
        <v>203</v>
      </c>
      <c r="C76" s="4" t="s">
        <v>44</v>
      </c>
      <c r="D76" s="4" t="s">
        <v>73</v>
      </c>
      <c r="E76" s="4" t="n">
        <v>202.1</v>
      </c>
      <c r="F76" s="4" t="s">
        <v>40</v>
      </c>
      <c r="G76" s="4" t="n">
        <v>5</v>
      </c>
      <c r="H76" s="4" t="n">
        <v>0.577</v>
      </c>
      <c r="I76" s="4" t="n">
        <v>0.36</v>
      </c>
      <c r="J76" s="4" t="n">
        <v>54</v>
      </c>
      <c r="K76" s="4" t="n">
        <v>63</v>
      </c>
      <c r="L76" s="4" t="n">
        <v>2</v>
      </c>
      <c r="M76" s="4" t="n">
        <v>0</v>
      </c>
      <c r="N76" s="4" t="s">
        <v>41</v>
      </c>
    </row>
    <row r="77" customFormat="false" ht="15" hidden="false" customHeight="false" outlineLevel="0" collapsed="false">
      <c r="A77" s="4" t="s">
        <v>204</v>
      </c>
      <c r="B77" s="4" t="s">
        <v>205</v>
      </c>
      <c r="C77" s="4" t="s">
        <v>44</v>
      </c>
      <c r="D77" s="4" t="s">
        <v>56</v>
      </c>
      <c r="E77" s="4" t="n">
        <v>535.8</v>
      </c>
      <c r="F77" s="4" t="s">
        <v>46</v>
      </c>
      <c r="G77" s="4" t="n">
        <v>10</v>
      </c>
      <c r="H77" s="4" t="n">
        <v>0.912</v>
      </c>
      <c r="I77" s="4" t="n">
        <v>0.51</v>
      </c>
      <c r="J77" s="4" t="n">
        <v>80</v>
      </c>
      <c r="K77" s="4" t="n">
        <v>25</v>
      </c>
      <c r="L77" s="4" t="n">
        <v>4</v>
      </c>
      <c r="M77" s="4" t="n">
        <v>0</v>
      </c>
      <c r="N77" s="4" t="s">
        <v>52</v>
      </c>
    </row>
    <row r="78" customFormat="false" ht="15" hidden="false" customHeight="false" outlineLevel="0" collapsed="false">
      <c r="A78" s="4" t="s">
        <v>206</v>
      </c>
      <c r="B78" s="4" t="s">
        <v>207</v>
      </c>
      <c r="C78" s="4" t="s">
        <v>62</v>
      </c>
      <c r="D78" s="4" t="s">
        <v>59</v>
      </c>
      <c r="E78" s="4" t="n">
        <v>481.5</v>
      </c>
      <c r="F78" s="4" t="s">
        <v>46</v>
      </c>
      <c r="G78" s="4" t="n">
        <v>9</v>
      </c>
      <c r="H78" s="4" t="n">
        <v>0.635</v>
      </c>
      <c r="I78" s="4" t="n">
        <v>0.53</v>
      </c>
      <c r="J78" s="4" t="n">
        <v>74</v>
      </c>
      <c r="K78" s="4" t="n">
        <v>49</v>
      </c>
      <c r="L78" s="4" t="n">
        <v>6</v>
      </c>
      <c r="M78" s="4" t="n">
        <v>0</v>
      </c>
      <c r="N78" s="4" t="s">
        <v>52</v>
      </c>
    </row>
    <row r="79" customFormat="false" ht="15" hidden="false" customHeight="false" outlineLevel="0" collapsed="false">
      <c r="A79" s="4" t="s">
        <v>208</v>
      </c>
      <c r="B79" s="4" t="s">
        <v>209</v>
      </c>
      <c r="C79" s="4" t="s">
        <v>38</v>
      </c>
      <c r="D79" s="4" t="s">
        <v>50</v>
      </c>
      <c r="E79" s="4" t="n">
        <v>505.4</v>
      </c>
      <c r="F79" s="4" t="s">
        <v>46</v>
      </c>
      <c r="G79" s="4" t="n">
        <v>1</v>
      </c>
      <c r="H79" s="4" t="n">
        <v>0.812</v>
      </c>
      <c r="I79" s="4" t="n">
        <v>0.43</v>
      </c>
      <c r="J79" s="4" t="n">
        <v>77</v>
      </c>
      <c r="K79" s="4" t="n">
        <v>49</v>
      </c>
      <c r="L79" s="4" t="n">
        <v>1</v>
      </c>
      <c r="M79" s="4" t="n">
        <v>0</v>
      </c>
      <c r="N79" s="4" t="s">
        <v>41</v>
      </c>
    </row>
    <row r="80" customFormat="false" ht="15" hidden="false" customHeight="false" outlineLevel="0" collapsed="false">
      <c r="A80" s="4" t="s">
        <v>210</v>
      </c>
      <c r="B80" s="4" t="s">
        <v>211</v>
      </c>
      <c r="C80" s="4" t="s">
        <v>55</v>
      </c>
      <c r="D80" s="4" t="s">
        <v>39</v>
      </c>
      <c r="E80" s="4" t="n">
        <v>2449.1</v>
      </c>
      <c r="F80" s="4" t="s">
        <v>51</v>
      </c>
      <c r="G80" s="4" t="n">
        <v>3</v>
      </c>
      <c r="H80" s="4" t="n">
        <v>0.566</v>
      </c>
      <c r="I80" s="4" t="n">
        <v>0.51</v>
      </c>
      <c r="J80" s="4" t="n">
        <v>89</v>
      </c>
      <c r="K80" s="4" t="n">
        <v>34</v>
      </c>
      <c r="L80" s="4" t="n">
        <v>3</v>
      </c>
      <c r="M80" s="4" t="n">
        <v>0</v>
      </c>
      <c r="N80" s="4" t="s">
        <v>52</v>
      </c>
    </row>
    <row r="81" customFormat="false" ht="15" hidden="false" customHeight="false" outlineLevel="0" collapsed="false">
      <c r="A81" s="4" t="s">
        <v>212</v>
      </c>
      <c r="B81" s="4" t="s">
        <v>213</v>
      </c>
      <c r="C81" s="4" t="s">
        <v>38</v>
      </c>
      <c r="D81" s="4" t="s">
        <v>45</v>
      </c>
      <c r="E81" s="4" t="n">
        <v>199.8</v>
      </c>
      <c r="F81" s="4" t="s">
        <v>40</v>
      </c>
      <c r="G81" s="4" t="n">
        <v>5</v>
      </c>
      <c r="H81" s="4" t="n">
        <v>0.561</v>
      </c>
      <c r="I81" s="4" t="n">
        <v>0.51</v>
      </c>
      <c r="J81" s="4" t="n">
        <v>60</v>
      </c>
      <c r="K81" s="4" t="n">
        <v>59</v>
      </c>
      <c r="L81" s="4" t="n">
        <v>3</v>
      </c>
      <c r="M81" s="4" t="n">
        <v>0</v>
      </c>
      <c r="N81" s="4" t="s">
        <v>41</v>
      </c>
    </row>
    <row r="82" customFormat="false" ht="15" hidden="false" customHeight="false" outlineLevel="0" collapsed="false">
      <c r="A82" s="4" t="s">
        <v>214</v>
      </c>
      <c r="B82" s="4" t="s">
        <v>215</v>
      </c>
      <c r="C82" s="4" t="s">
        <v>38</v>
      </c>
      <c r="D82" s="4" t="s">
        <v>39</v>
      </c>
      <c r="E82" s="4" t="n">
        <v>1781.7</v>
      </c>
      <c r="F82" s="4" t="s">
        <v>51</v>
      </c>
      <c r="G82" s="4" t="n">
        <v>9</v>
      </c>
      <c r="H82" s="4" t="n">
        <v>2.35</v>
      </c>
      <c r="I82" s="4" t="n">
        <v>0.4</v>
      </c>
      <c r="J82" s="4" t="n">
        <v>80</v>
      </c>
      <c r="K82" s="4" t="n">
        <v>45</v>
      </c>
      <c r="L82" s="4" t="n">
        <v>6</v>
      </c>
      <c r="M82" s="4" t="n">
        <v>0</v>
      </c>
      <c r="N82" s="4" t="s">
        <v>52</v>
      </c>
    </row>
    <row r="83" customFormat="false" ht="15" hidden="false" customHeight="false" outlineLevel="0" collapsed="false">
      <c r="A83" s="4" t="s">
        <v>216</v>
      </c>
      <c r="B83" s="4" t="s">
        <v>217</v>
      </c>
      <c r="C83" s="4" t="s">
        <v>44</v>
      </c>
      <c r="D83" s="4" t="s">
        <v>59</v>
      </c>
      <c r="E83" s="4" t="n">
        <v>176.5</v>
      </c>
      <c r="F83" s="4" t="s">
        <v>40</v>
      </c>
      <c r="G83" s="4" t="n">
        <v>0</v>
      </c>
      <c r="H83" s="4" t="n">
        <v>0.346</v>
      </c>
      <c r="I83" s="4" t="n">
        <v>0.48</v>
      </c>
      <c r="J83" s="4" t="n">
        <v>76</v>
      </c>
      <c r="K83" s="4" t="n">
        <v>45</v>
      </c>
      <c r="L83" s="4" t="n">
        <v>0</v>
      </c>
      <c r="M83" s="4" t="n">
        <v>0</v>
      </c>
      <c r="N83" s="4" t="s">
        <v>41</v>
      </c>
    </row>
    <row r="84" customFormat="false" ht="15" hidden="false" customHeight="false" outlineLevel="0" collapsed="false">
      <c r="A84" s="4" t="s">
        <v>218</v>
      </c>
      <c r="B84" s="4" t="s">
        <v>219</v>
      </c>
      <c r="C84" s="4" t="s">
        <v>38</v>
      </c>
      <c r="D84" s="4" t="s">
        <v>73</v>
      </c>
      <c r="E84" s="4" t="n">
        <v>2449</v>
      </c>
      <c r="F84" s="4" t="s">
        <v>51</v>
      </c>
      <c r="G84" s="4" t="n">
        <v>4</v>
      </c>
      <c r="H84" s="4" t="n">
        <v>2.397</v>
      </c>
      <c r="I84" s="4" t="n">
        <v>0.46</v>
      </c>
      <c r="J84" s="4" t="n">
        <v>83</v>
      </c>
      <c r="K84" s="4" t="n">
        <v>25</v>
      </c>
      <c r="L84" s="4" t="n">
        <v>4</v>
      </c>
      <c r="M84" s="4" t="n">
        <v>0</v>
      </c>
      <c r="N84" s="4" t="s">
        <v>52</v>
      </c>
    </row>
    <row r="85" customFormat="false" ht="15" hidden="false" customHeight="false" outlineLevel="0" collapsed="false">
      <c r="A85" s="4" t="s">
        <v>220</v>
      </c>
      <c r="B85" s="4" t="s">
        <v>221</v>
      </c>
      <c r="C85" s="4" t="s">
        <v>44</v>
      </c>
      <c r="D85" s="4" t="s">
        <v>73</v>
      </c>
      <c r="E85" s="4" t="n">
        <v>671.8</v>
      </c>
      <c r="F85" s="4" t="s">
        <v>46</v>
      </c>
      <c r="G85" s="4" t="n">
        <v>1</v>
      </c>
      <c r="H85" s="4" t="n">
        <v>1.068</v>
      </c>
      <c r="I85" s="4" t="n">
        <v>0.45</v>
      </c>
      <c r="J85" s="4" t="n">
        <v>73</v>
      </c>
      <c r="K85" s="4" t="n">
        <v>51</v>
      </c>
      <c r="L85" s="4" t="n">
        <v>1</v>
      </c>
      <c r="M85" s="4" t="n">
        <v>0</v>
      </c>
      <c r="N85" s="4" t="s">
        <v>41</v>
      </c>
    </row>
    <row r="86" customFormat="false" ht="15" hidden="false" customHeight="false" outlineLevel="0" collapsed="false">
      <c r="A86" s="4" t="s">
        <v>222</v>
      </c>
      <c r="B86" s="4" t="s">
        <v>223</v>
      </c>
      <c r="C86" s="4" t="s">
        <v>62</v>
      </c>
      <c r="D86" s="4" t="s">
        <v>73</v>
      </c>
      <c r="E86" s="4" t="n">
        <v>121.7</v>
      </c>
      <c r="F86" s="4" t="s">
        <v>40</v>
      </c>
      <c r="G86" s="4" t="n">
        <v>7</v>
      </c>
      <c r="H86" s="4" t="n">
        <v>0.58</v>
      </c>
      <c r="I86" s="4" t="n">
        <v>0.55</v>
      </c>
      <c r="J86" s="4" t="n">
        <v>68</v>
      </c>
      <c r="K86" s="4" t="n">
        <v>61</v>
      </c>
      <c r="L86" s="4" t="n">
        <v>2</v>
      </c>
      <c r="M86" s="4" t="n">
        <v>0</v>
      </c>
      <c r="N86" s="4" t="s">
        <v>41</v>
      </c>
    </row>
    <row r="87" customFormat="false" ht="15" hidden="false" customHeight="false" outlineLevel="0" collapsed="false">
      <c r="A87" s="4" t="s">
        <v>224</v>
      </c>
      <c r="B87" s="4" t="s">
        <v>225</v>
      </c>
      <c r="C87" s="4" t="s">
        <v>49</v>
      </c>
      <c r="D87" s="4" t="s">
        <v>59</v>
      </c>
      <c r="E87" s="4" t="n">
        <v>512</v>
      </c>
      <c r="F87" s="4" t="s">
        <v>46</v>
      </c>
      <c r="G87" s="4" t="n">
        <v>10</v>
      </c>
      <c r="H87" s="4" t="n">
        <v>0.111</v>
      </c>
      <c r="I87" s="4" t="n">
        <v>0.38</v>
      </c>
      <c r="J87" s="4" t="n">
        <v>72</v>
      </c>
      <c r="K87" s="4" t="n">
        <v>51</v>
      </c>
      <c r="L87" s="4" t="n">
        <v>4</v>
      </c>
      <c r="M87" s="4" t="n">
        <v>0</v>
      </c>
      <c r="N87" s="4" t="s">
        <v>41</v>
      </c>
    </row>
    <row r="88" customFormat="false" ht="15" hidden="false" customHeight="false" outlineLevel="0" collapsed="false">
      <c r="A88" s="4" t="s">
        <v>226</v>
      </c>
      <c r="B88" s="4" t="s">
        <v>227</v>
      </c>
      <c r="C88" s="4" t="s">
        <v>44</v>
      </c>
      <c r="D88" s="4" t="s">
        <v>59</v>
      </c>
      <c r="E88" s="4" t="n">
        <v>96.3</v>
      </c>
      <c r="F88" s="4" t="s">
        <v>40</v>
      </c>
      <c r="G88" s="4" t="n">
        <v>2</v>
      </c>
      <c r="H88" s="4" t="n">
        <v>0.992</v>
      </c>
      <c r="I88" s="4" t="n">
        <v>0.38</v>
      </c>
      <c r="J88" s="4" t="n">
        <v>48</v>
      </c>
      <c r="K88" s="4" t="n">
        <v>63</v>
      </c>
      <c r="L88" s="4" t="n">
        <v>2</v>
      </c>
      <c r="M88" s="4" t="n">
        <v>0</v>
      </c>
      <c r="N88" s="4" t="s">
        <v>41</v>
      </c>
    </row>
    <row r="89" customFormat="false" ht="15" hidden="false" customHeight="false" outlineLevel="0" collapsed="false">
      <c r="A89" s="4" t="s">
        <v>228</v>
      </c>
      <c r="B89" s="4" t="s">
        <v>229</v>
      </c>
      <c r="C89" s="4" t="s">
        <v>49</v>
      </c>
      <c r="D89" s="4" t="s">
        <v>39</v>
      </c>
      <c r="E89" s="4" t="n">
        <v>454.5</v>
      </c>
      <c r="F89" s="4" t="s">
        <v>46</v>
      </c>
      <c r="G89" s="4" t="n">
        <v>5</v>
      </c>
      <c r="H89" s="4" t="n">
        <v>0.253</v>
      </c>
      <c r="I89" s="4" t="n">
        <v>0.5</v>
      </c>
      <c r="J89" s="4" t="n">
        <v>75</v>
      </c>
      <c r="K89" s="4" t="n">
        <v>51</v>
      </c>
      <c r="L89" s="4" t="n">
        <v>3</v>
      </c>
      <c r="M89" s="4" t="n">
        <v>0</v>
      </c>
      <c r="N89" s="4" t="s">
        <v>41</v>
      </c>
    </row>
    <row r="90" customFormat="false" ht="15" hidden="false" customHeight="false" outlineLevel="0" collapsed="false">
      <c r="A90" s="4" t="s">
        <v>230</v>
      </c>
      <c r="B90" s="4" t="s">
        <v>231</v>
      </c>
      <c r="C90" s="4" t="s">
        <v>44</v>
      </c>
      <c r="D90" s="4" t="s">
        <v>39</v>
      </c>
      <c r="E90" s="4" t="n">
        <v>894.2</v>
      </c>
      <c r="F90" s="4" t="s">
        <v>46</v>
      </c>
      <c r="G90" s="4" t="n">
        <v>7</v>
      </c>
      <c r="H90" s="4" t="n">
        <v>0.701</v>
      </c>
      <c r="I90" s="4" t="n">
        <v>0.34</v>
      </c>
      <c r="J90" s="4" t="n">
        <v>72</v>
      </c>
      <c r="K90" s="4" t="n">
        <v>45</v>
      </c>
      <c r="L90" s="4" t="n">
        <v>3</v>
      </c>
      <c r="M90" s="4" t="n">
        <v>0</v>
      </c>
      <c r="N90" s="4" t="s">
        <v>41</v>
      </c>
    </row>
    <row r="91" customFormat="false" ht="15" hidden="false" customHeight="false" outlineLevel="0" collapsed="false">
      <c r="A91" s="4" t="s">
        <v>232</v>
      </c>
      <c r="B91" s="4" t="s">
        <v>233</v>
      </c>
      <c r="C91" s="4" t="s">
        <v>49</v>
      </c>
      <c r="D91" s="4" t="s">
        <v>50</v>
      </c>
      <c r="E91" s="4" t="n">
        <v>315.9</v>
      </c>
      <c r="F91" s="4" t="s">
        <v>46</v>
      </c>
      <c r="G91" s="4" t="n">
        <v>4</v>
      </c>
      <c r="H91" s="4" t="n">
        <v>0.361</v>
      </c>
      <c r="I91" s="4" t="n">
        <v>0.44</v>
      </c>
      <c r="J91" s="4" t="n">
        <v>62</v>
      </c>
      <c r="K91" s="4" t="n">
        <v>50</v>
      </c>
      <c r="L91" s="4" t="n">
        <v>2</v>
      </c>
      <c r="M91" s="4" t="n">
        <v>0</v>
      </c>
      <c r="N91" s="4" t="s">
        <v>41</v>
      </c>
    </row>
    <row r="92" customFormat="false" ht="15" hidden="false" customHeight="false" outlineLevel="0" collapsed="false">
      <c r="A92" s="4" t="s">
        <v>234</v>
      </c>
      <c r="B92" s="4" t="s">
        <v>235</v>
      </c>
      <c r="C92" s="4" t="s">
        <v>65</v>
      </c>
      <c r="D92" s="4" t="s">
        <v>59</v>
      </c>
      <c r="E92" s="4" t="n">
        <v>706</v>
      </c>
      <c r="F92" s="4" t="s">
        <v>46</v>
      </c>
      <c r="G92" s="4" t="n">
        <v>1</v>
      </c>
      <c r="H92" s="4" t="n">
        <v>1.074</v>
      </c>
      <c r="I92" s="4" t="n">
        <v>0.5</v>
      </c>
      <c r="J92" s="4" t="n">
        <v>72</v>
      </c>
      <c r="K92" s="4" t="n">
        <v>51</v>
      </c>
      <c r="L92" s="4" t="n">
        <v>4</v>
      </c>
      <c r="M92" s="4" t="n">
        <v>0</v>
      </c>
      <c r="N92" s="4" t="s">
        <v>41</v>
      </c>
    </row>
    <row r="93" customFormat="false" ht="15" hidden="false" customHeight="false" outlineLevel="0" collapsed="false">
      <c r="A93" s="4" t="s">
        <v>236</v>
      </c>
      <c r="B93" s="4" t="s">
        <v>237</v>
      </c>
      <c r="C93" s="4" t="s">
        <v>55</v>
      </c>
      <c r="D93" s="4" t="s">
        <v>50</v>
      </c>
      <c r="E93" s="4" t="n">
        <v>100.7</v>
      </c>
      <c r="F93" s="4" t="s">
        <v>40</v>
      </c>
      <c r="G93" s="4" t="n">
        <v>13</v>
      </c>
      <c r="H93" s="4" t="n">
        <v>0.288</v>
      </c>
      <c r="I93" s="4" t="n">
        <v>0.36</v>
      </c>
      <c r="J93" s="4" t="n">
        <v>57</v>
      </c>
      <c r="K93" s="4" t="n">
        <v>77</v>
      </c>
      <c r="L93" s="4" t="n">
        <v>7</v>
      </c>
      <c r="M93" s="4" t="n">
        <v>0</v>
      </c>
      <c r="N93" s="4" t="s">
        <v>52</v>
      </c>
    </row>
    <row r="94" customFormat="false" ht="15" hidden="false" customHeight="false" outlineLevel="0" collapsed="false">
      <c r="A94" s="4" t="s">
        <v>238</v>
      </c>
      <c r="B94" s="4" t="s">
        <v>239</v>
      </c>
      <c r="C94" s="4" t="s">
        <v>44</v>
      </c>
      <c r="D94" s="4" t="s">
        <v>56</v>
      </c>
      <c r="E94" s="4" t="n">
        <v>1476.7</v>
      </c>
      <c r="F94" s="4" t="s">
        <v>51</v>
      </c>
      <c r="G94" s="4" t="n">
        <v>4</v>
      </c>
      <c r="H94" s="4" t="n">
        <v>0.347</v>
      </c>
      <c r="I94" s="4" t="n">
        <v>0.26</v>
      </c>
      <c r="J94" s="4" t="n">
        <v>83</v>
      </c>
      <c r="K94" s="4" t="n">
        <v>29</v>
      </c>
      <c r="L94" s="4" t="n">
        <v>4</v>
      </c>
      <c r="M94" s="4" t="n">
        <v>0</v>
      </c>
      <c r="N94" s="4" t="s">
        <v>52</v>
      </c>
    </row>
    <row r="95" customFormat="false" ht="15" hidden="false" customHeight="false" outlineLevel="0" collapsed="false">
      <c r="A95" s="4" t="s">
        <v>240</v>
      </c>
      <c r="B95" s="4" t="s">
        <v>241</v>
      </c>
      <c r="C95" s="4" t="s">
        <v>65</v>
      </c>
      <c r="D95" s="4" t="s">
        <v>45</v>
      </c>
      <c r="E95" s="4" t="n">
        <v>2257.7</v>
      </c>
      <c r="F95" s="4" t="s">
        <v>51</v>
      </c>
      <c r="G95" s="4" t="n">
        <v>7</v>
      </c>
      <c r="H95" s="4" t="n">
        <v>1.954</v>
      </c>
      <c r="I95" s="4" t="n">
        <v>0.54</v>
      </c>
      <c r="J95" s="4" t="n">
        <v>90</v>
      </c>
      <c r="K95" s="4" t="n">
        <v>24</v>
      </c>
      <c r="L95" s="4" t="n">
        <v>9</v>
      </c>
      <c r="M95" s="4" t="n">
        <v>0</v>
      </c>
      <c r="N95" s="4" t="s">
        <v>52</v>
      </c>
    </row>
    <row r="96" customFormat="false" ht="15" hidden="false" customHeight="false" outlineLevel="0" collapsed="false">
      <c r="A96" s="4" t="s">
        <v>242</v>
      </c>
      <c r="B96" s="4" t="s">
        <v>243</v>
      </c>
      <c r="C96" s="4" t="s">
        <v>62</v>
      </c>
      <c r="D96" s="4" t="s">
        <v>50</v>
      </c>
      <c r="E96" s="4" t="n">
        <v>596.2</v>
      </c>
      <c r="F96" s="4" t="s">
        <v>46</v>
      </c>
      <c r="G96" s="4" t="n">
        <v>0</v>
      </c>
      <c r="H96" s="4" t="n">
        <v>0.197</v>
      </c>
      <c r="I96" s="4" t="n">
        <v>0.39</v>
      </c>
      <c r="J96" s="4" t="n">
        <v>75</v>
      </c>
      <c r="K96" s="4" t="n">
        <v>48</v>
      </c>
      <c r="L96" s="4" t="n">
        <v>0</v>
      </c>
      <c r="M96" s="4" t="n">
        <v>0</v>
      </c>
      <c r="N96" s="4" t="s">
        <v>41</v>
      </c>
    </row>
    <row r="97" customFormat="false" ht="15" hidden="false" customHeight="false" outlineLevel="0" collapsed="false">
      <c r="A97" s="4" t="s">
        <v>244</v>
      </c>
      <c r="B97" s="4" t="s">
        <v>245</v>
      </c>
      <c r="C97" s="4" t="s">
        <v>62</v>
      </c>
      <c r="D97" s="4" t="s">
        <v>59</v>
      </c>
      <c r="E97" s="4" t="n">
        <v>1960.8</v>
      </c>
      <c r="F97" s="4" t="s">
        <v>51</v>
      </c>
      <c r="G97" s="4" t="n">
        <v>17</v>
      </c>
      <c r="H97" s="4" t="n">
        <v>1</v>
      </c>
      <c r="I97" s="4" t="n">
        <v>0.36</v>
      </c>
      <c r="J97" s="4" t="n">
        <v>85</v>
      </c>
      <c r="K97" s="4" t="n">
        <v>30</v>
      </c>
      <c r="L97" s="4" t="n">
        <v>10</v>
      </c>
      <c r="M97" s="4" t="n">
        <v>0</v>
      </c>
      <c r="N97" s="4" t="s">
        <v>52</v>
      </c>
    </row>
    <row r="98" customFormat="false" ht="15" hidden="false" customHeight="false" outlineLevel="0" collapsed="false">
      <c r="A98" s="4" t="s">
        <v>246</v>
      </c>
      <c r="B98" s="4" t="s">
        <v>247</v>
      </c>
      <c r="C98" s="4" t="s">
        <v>65</v>
      </c>
      <c r="D98" s="4" t="s">
        <v>39</v>
      </c>
      <c r="E98" s="4" t="n">
        <v>577.1</v>
      </c>
      <c r="F98" s="4" t="s">
        <v>46</v>
      </c>
      <c r="G98" s="4" t="n">
        <v>4</v>
      </c>
      <c r="H98" s="4" t="n">
        <v>0.297</v>
      </c>
      <c r="I98" s="4" t="n">
        <v>0.46</v>
      </c>
      <c r="J98" s="4" t="n">
        <v>71</v>
      </c>
      <c r="K98" s="4" t="n">
        <v>58</v>
      </c>
      <c r="L98" s="4" t="n">
        <v>3</v>
      </c>
      <c r="M98" s="4" t="n">
        <v>0</v>
      </c>
      <c r="N98" s="4" t="s">
        <v>41</v>
      </c>
    </row>
    <row r="99" customFormat="false" ht="15" hidden="false" customHeight="false" outlineLevel="0" collapsed="false">
      <c r="A99" s="4" t="s">
        <v>248</v>
      </c>
      <c r="B99" s="4" t="s">
        <v>249</v>
      </c>
      <c r="C99" s="4" t="s">
        <v>55</v>
      </c>
      <c r="D99" s="4" t="s">
        <v>73</v>
      </c>
      <c r="E99" s="4" t="n">
        <v>2569.5</v>
      </c>
      <c r="F99" s="4" t="s">
        <v>51</v>
      </c>
      <c r="G99" s="4" t="n">
        <v>14</v>
      </c>
      <c r="H99" s="4" t="n">
        <v>1.432</v>
      </c>
      <c r="I99" s="4" t="n">
        <v>0.55</v>
      </c>
      <c r="J99" s="4" t="n">
        <v>96</v>
      </c>
      <c r="K99" s="4" t="n">
        <v>20</v>
      </c>
      <c r="L99" s="4" t="n">
        <v>7</v>
      </c>
      <c r="M99" s="4" t="n">
        <v>0</v>
      </c>
      <c r="N99" s="4" t="s">
        <v>52</v>
      </c>
    </row>
    <row r="100" customFormat="false" ht="15" hidden="false" customHeight="false" outlineLevel="0" collapsed="false">
      <c r="A100" s="4" t="s">
        <v>250</v>
      </c>
      <c r="B100" s="4" t="s">
        <v>251</v>
      </c>
      <c r="C100" s="4" t="s">
        <v>49</v>
      </c>
      <c r="D100" s="4" t="s">
        <v>50</v>
      </c>
      <c r="E100" s="4" t="n">
        <v>637.6</v>
      </c>
      <c r="F100" s="4" t="s">
        <v>46</v>
      </c>
      <c r="G100" s="4" t="n">
        <v>4</v>
      </c>
      <c r="H100" s="4" t="n">
        <v>0.479</v>
      </c>
      <c r="I100" s="4" t="n">
        <v>0.46</v>
      </c>
      <c r="J100" s="4" t="n">
        <v>77</v>
      </c>
      <c r="K100" s="4" t="n">
        <v>29</v>
      </c>
      <c r="L100" s="4" t="n">
        <v>2</v>
      </c>
      <c r="M100" s="4" t="n">
        <v>0</v>
      </c>
      <c r="N100" s="4" t="s">
        <v>41</v>
      </c>
    </row>
    <row r="101" customFormat="false" ht="15" hidden="false" customHeight="false" outlineLevel="0" collapsed="false">
      <c r="A101" s="4" t="s">
        <v>252</v>
      </c>
      <c r="B101" s="4" t="s">
        <v>253</v>
      </c>
      <c r="C101" s="4" t="s">
        <v>62</v>
      </c>
      <c r="D101" s="4" t="s">
        <v>56</v>
      </c>
      <c r="E101" s="4" t="n">
        <v>1793.9</v>
      </c>
      <c r="F101" s="4" t="s">
        <v>51</v>
      </c>
      <c r="G101" s="4" t="n">
        <v>15</v>
      </c>
      <c r="H101" s="4" t="n">
        <v>1.965</v>
      </c>
      <c r="I101" s="4" t="n">
        <v>0.32</v>
      </c>
      <c r="J101" s="4" t="n">
        <v>77</v>
      </c>
      <c r="K101" s="4" t="n">
        <v>43</v>
      </c>
      <c r="L101" s="4" t="n">
        <v>6</v>
      </c>
      <c r="M101" s="4" t="n">
        <v>0</v>
      </c>
      <c r="N101" s="4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23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19"/>
    <col collapsed="false" customWidth="true" hidden="false" outlineLevel="0" max="7" min="7" style="0" width="15"/>
    <col collapsed="false" customWidth="true" hidden="false" outlineLevel="0" max="8" min="8" style="0" width="18"/>
    <col collapsed="false" customWidth="true" hidden="false" outlineLevel="0" max="10" min="9" style="0" width="16"/>
    <col collapsed="false" customWidth="true" hidden="false" outlineLevel="0" max="11" min="11" style="0" width="18"/>
  </cols>
  <sheetData>
    <row r="1" customFormat="false" ht="15" hidden="false" customHeight="false" outlineLevel="0" collapsed="false">
      <c r="A1" s="3" t="s">
        <v>254</v>
      </c>
      <c r="B1" s="3" t="s">
        <v>255</v>
      </c>
      <c r="C1" s="3" t="s">
        <v>256</v>
      </c>
      <c r="D1" s="3" t="s">
        <v>257</v>
      </c>
      <c r="E1" s="3" t="s">
        <v>258</v>
      </c>
      <c r="F1" s="3" t="s">
        <v>259</v>
      </c>
      <c r="G1" s="3" t="s">
        <v>260</v>
      </c>
      <c r="H1" s="3" t="s">
        <v>261</v>
      </c>
      <c r="I1" s="3" t="s">
        <v>262</v>
      </c>
      <c r="J1" s="3" t="s">
        <v>263</v>
      </c>
      <c r="K1" s="3" t="s">
        <v>264</v>
      </c>
    </row>
    <row r="2" customFormat="false" ht="15" hidden="false" customHeight="false" outlineLevel="0" collapsed="false">
      <c r="A2" s="4" t="s">
        <v>265</v>
      </c>
      <c r="B2" s="4" t="s">
        <v>266</v>
      </c>
      <c r="C2" s="4" t="s">
        <v>267</v>
      </c>
      <c r="D2" s="4" t="n">
        <v>118214.43</v>
      </c>
      <c r="E2" s="4" t="n">
        <v>191665.7</v>
      </c>
      <c r="F2" s="4" t="n">
        <v>7063.14</v>
      </c>
      <c r="G2" s="4" t="n">
        <v>4113.79</v>
      </c>
      <c r="H2" s="4" t="n">
        <v>3156.89</v>
      </c>
      <c r="I2" s="4" t="n">
        <v>3204.08</v>
      </c>
      <c r="J2" s="4" t="n">
        <v>0.168</v>
      </c>
      <c r="K2" s="4" t="n">
        <v>0.234</v>
      </c>
    </row>
    <row r="3" customFormat="false" ht="15" hidden="false" customHeight="false" outlineLevel="0" collapsed="false">
      <c r="A3" s="4" t="s">
        <v>268</v>
      </c>
      <c r="B3" s="4" t="s">
        <v>269</v>
      </c>
      <c r="C3" s="4" t="s">
        <v>270</v>
      </c>
      <c r="D3" s="4" t="n">
        <v>277978.71</v>
      </c>
      <c r="E3" s="4" t="n">
        <v>415915.03</v>
      </c>
      <c r="F3" s="4" t="n">
        <v>25352.6</v>
      </c>
      <c r="G3" s="4" t="n">
        <v>5826.1</v>
      </c>
      <c r="H3" s="4" t="n">
        <v>8566.83</v>
      </c>
      <c r="I3" s="4" t="n">
        <v>13293.09</v>
      </c>
      <c r="J3" s="4" t="n">
        <v>0.161</v>
      </c>
      <c r="K3" s="4" t="n">
        <v>0.166</v>
      </c>
    </row>
    <row r="4" customFormat="false" ht="15" hidden="false" customHeight="false" outlineLevel="0" collapsed="false">
      <c r="A4" s="4" t="s">
        <v>271</v>
      </c>
      <c r="B4" s="4" t="s">
        <v>272</v>
      </c>
      <c r="C4" s="4" t="s">
        <v>273</v>
      </c>
      <c r="D4" s="4" t="n">
        <v>450748.83</v>
      </c>
      <c r="E4" s="4" t="n">
        <v>687164.03</v>
      </c>
      <c r="F4" s="4" t="n">
        <v>33044.41</v>
      </c>
      <c r="G4" s="4" t="n">
        <v>9737.89</v>
      </c>
      <c r="H4" s="4" t="n">
        <v>12832.41</v>
      </c>
      <c r="I4" s="4" t="n">
        <v>23139.22</v>
      </c>
      <c r="J4" s="4" t="n">
        <v>0.133</v>
      </c>
      <c r="K4" s="4" t="n">
        <v>0.164</v>
      </c>
    </row>
    <row r="5" customFormat="false" ht="15" hidden="false" customHeight="false" outlineLevel="0" collapsed="false">
      <c r="A5" s="4" t="s">
        <v>274</v>
      </c>
      <c r="B5" s="4" t="s">
        <v>275</v>
      </c>
      <c r="C5" s="4" t="s">
        <v>273</v>
      </c>
      <c r="D5" s="4" t="n">
        <v>234813.44</v>
      </c>
      <c r="E5" s="4" t="n">
        <v>354973.32</v>
      </c>
      <c r="F5" s="4" t="n">
        <v>8635.67</v>
      </c>
      <c r="G5" s="4" t="n">
        <v>13594.01</v>
      </c>
      <c r="H5" s="4" t="n">
        <v>6152.06</v>
      </c>
      <c r="I5" s="4" t="n">
        <v>16093.68</v>
      </c>
      <c r="J5" s="4" t="n">
        <v>0.178</v>
      </c>
      <c r="K5" s="4" t="n">
        <v>0.158</v>
      </c>
    </row>
    <row r="6" customFormat="false" ht="15" hidden="false" customHeight="false" outlineLevel="0" collapsed="false">
      <c r="A6" s="4" t="s">
        <v>276</v>
      </c>
      <c r="B6" s="4" t="s">
        <v>277</v>
      </c>
      <c r="C6" s="4" t="s">
        <v>278</v>
      </c>
      <c r="D6" s="4" t="n">
        <v>27808.43</v>
      </c>
      <c r="E6" s="4" t="n">
        <v>48628</v>
      </c>
      <c r="F6" s="4" t="n">
        <v>2068.85</v>
      </c>
      <c r="G6" s="4" t="n">
        <v>1033.39</v>
      </c>
      <c r="H6" s="4" t="n">
        <v>757.59</v>
      </c>
      <c r="I6" s="4" t="n">
        <v>616.07</v>
      </c>
      <c r="J6" s="4" t="n">
        <v>0.152</v>
      </c>
      <c r="K6" s="4" t="n">
        <v>0.249</v>
      </c>
    </row>
    <row r="7" customFormat="false" ht="15" hidden="false" customHeight="false" outlineLevel="0" collapsed="false">
      <c r="A7" s="4" t="s">
        <v>279</v>
      </c>
      <c r="B7" s="4" t="s">
        <v>280</v>
      </c>
      <c r="C7" s="4" t="s">
        <v>278</v>
      </c>
      <c r="D7" s="4" t="n">
        <v>38554.76</v>
      </c>
      <c r="E7" s="4" t="n">
        <v>54063.98</v>
      </c>
      <c r="F7" s="4" t="n">
        <v>3061.47</v>
      </c>
      <c r="G7" s="4" t="n">
        <v>1236.47</v>
      </c>
      <c r="H7" s="4" t="n">
        <v>1778.13</v>
      </c>
      <c r="I7" s="4" t="n">
        <v>875.46</v>
      </c>
      <c r="J7" s="4" t="n">
        <v>0.176</v>
      </c>
      <c r="K7" s="4" t="n">
        <v>0.234</v>
      </c>
    </row>
    <row r="8" customFormat="false" ht="15" hidden="false" customHeight="false" outlineLevel="0" collapsed="false">
      <c r="A8" s="4" t="s">
        <v>281</v>
      </c>
      <c r="B8" s="4" t="s">
        <v>282</v>
      </c>
      <c r="C8" s="4" t="s">
        <v>283</v>
      </c>
      <c r="D8" s="4" t="n">
        <v>14110.23</v>
      </c>
      <c r="E8" s="4" t="n">
        <v>19878.33</v>
      </c>
      <c r="F8" s="4" t="n">
        <v>0</v>
      </c>
      <c r="G8" s="4" t="n">
        <v>753.32</v>
      </c>
      <c r="H8" s="4" t="n">
        <v>229.01</v>
      </c>
      <c r="I8" s="4" t="n">
        <v>735.06</v>
      </c>
      <c r="J8" s="4" t="n">
        <v>0.175</v>
      </c>
      <c r="K8" s="4" t="n">
        <v>0.207</v>
      </c>
    </row>
    <row r="9" customFormat="false" ht="15" hidden="false" customHeight="false" outlineLevel="0" collapsed="false">
      <c r="A9" s="4" t="s">
        <v>284</v>
      </c>
      <c r="B9" s="4" t="s">
        <v>285</v>
      </c>
      <c r="C9" s="4" t="s">
        <v>286</v>
      </c>
      <c r="D9" s="4" t="n">
        <v>28656.13</v>
      </c>
      <c r="E9" s="4" t="n">
        <v>44473.11</v>
      </c>
      <c r="F9" s="4" t="n">
        <v>0</v>
      </c>
      <c r="G9" s="4" t="n">
        <v>645.47</v>
      </c>
      <c r="H9" s="4" t="n">
        <v>1396.99</v>
      </c>
      <c r="I9" s="4" t="n">
        <v>1107.25</v>
      </c>
      <c r="J9" s="4" t="n">
        <v>0.131</v>
      </c>
      <c r="K9" s="4" t="n">
        <v>0.179</v>
      </c>
    </row>
    <row r="10" customFormat="false" ht="15" hidden="false" customHeight="false" outlineLevel="0" collapsed="false">
      <c r="A10" s="4" t="s">
        <v>287</v>
      </c>
      <c r="B10" s="4" t="s">
        <v>288</v>
      </c>
      <c r="C10" s="4" t="s">
        <v>289</v>
      </c>
      <c r="D10" s="4" t="n">
        <v>14501.22</v>
      </c>
      <c r="E10" s="4" t="n">
        <v>20599.16</v>
      </c>
      <c r="F10" s="4" t="n">
        <v>1315.42</v>
      </c>
      <c r="G10" s="4" t="n">
        <v>700.61</v>
      </c>
      <c r="H10" s="4" t="n">
        <v>626.46</v>
      </c>
      <c r="I10" s="4" t="n">
        <v>1139.13</v>
      </c>
      <c r="J10" s="4" t="n">
        <v>0.171</v>
      </c>
      <c r="K10" s="4" t="n">
        <v>0.244</v>
      </c>
    </row>
    <row r="11" customFormat="false" ht="15" hidden="false" customHeight="false" outlineLevel="0" collapsed="false">
      <c r="A11" s="4" t="s">
        <v>290</v>
      </c>
      <c r="B11" s="4" t="s">
        <v>291</v>
      </c>
      <c r="C11" s="4" t="s">
        <v>289</v>
      </c>
      <c r="D11" s="4" t="n">
        <v>2777.09</v>
      </c>
      <c r="E11" s="4" t="n">
        <v>4749.47</v>
      </c>
      <c r="F11" s="4" t="n">
        <v>189.39</v>
      </c>
      <c r="G11" s="4" t="n">
        <v>115.92</v>
      </c>
      <c r="H11" s="4" t="n">
        <v>127.63</v>
      </c>
      <c r="I11" s="4" t="n">
        <v>217.47</v>
      </c>
      <c r="J11" s="4" t="n">
        <v>0.162</v>
      </c>
      <c r="K11" s="4" t="n">
        <v>0.198</v>
      </c>
    </row>
    <row r="12" customFormat="false" ht="15" hidden="false" customHeight="false" outlineLevel="0" collapsed="false">
      <c r="A12" s="4" t="s">
        <v>292</v>
      </c>
      <c r="B12" s="4" t="s">
        <v>293</v>
      </c>
      <c r="C12" s="4" t="s">
        <v>267</v>
      </c>
      <c r="D12" s="4" t="n">
        <v>65640.39</v>
      </c>
      <c r="E12" s="4" t="n">
        <v>100318.18</v>
      </c>
      <c r="F12" s="4" t="n">
        <v>3630.7</v>
      </c>
      <c r="G12" s="4" t="n">
        <v>2340.75</v>
      </c>
      <c r="H12" s="4" t="n">
        <v>892.06</v>
      </c>
      <c r="I12" s="4" t="n">
        <v>1617.78</v>
      </c>
      <c r="J12" s="4" t="n">
        <v>0.167</v>
      </c>
      <c r="K12" s="4" t="n">
        <v>0.195</v>
      </c>
    </row>
    <row r="13" customFormat="false" ht="15" hidden="false" customHeight="false" outlineLevel="0" collapsed="false">
      <c r="A13" s="4" t="s">
        <v>294</v>
      </c>
      <c r="B13" s="4" t="s">
        <v>295</v>
      </c>
      <c r="C13" s="4" t="s">
        <v>270</v>
      </c>
      <c r="D13" s="4" t="n">
        <v>568808.02</v>
      </c>
      <c r="E13" s="4" t="n">
        <v>923505.94</v>
      </c>
      <c r="F13" s="4" t="n">
        <v>18464.83</v>
      </c>
      <c r="G13" s="4" t="n">
        <v>14960.18</v>
      </c>
      <c r="H13" s="4" t="n">
        <v>10370.96</v>
      </c>
      <c r="I13" s="4" t="n">
        <v>44676.55</v>
      </c>
      <c r="J13" s="4" t="n">
        <v>0.133</v>
      </c>
      <c r="K13" s="4" t="n">
        <v>0.202</v>
      </c>
    </row>
    <row r="14" customFormat="false" ht="15" hidden="false" customHeight="false" outlineLevel="0" collapsed="false">
      <c r="A14" s="4" t="s">
        <v>296</v>
      </c>
      <c r="B14" s="4" t="s">
        <v>297</v>
      </c>
      <c r="C14" s="4" t="s">
        <v>273</v>
      </c>
      <c r="D14" s="4" t="n">
        <v>571279.62</v>
      </c>
      <c r="E14" s="4" t="n">
        <v>1031419.21</v>
      </c>
      <c r="F14" s="4" t="n">
        <v>26590.34</v>
      </c>
      <c r="G14" s="4" t="n">
        <v>12547.99</v>
      </c>
      <c r="H14" s="4" t="n">
        <v>9222.78</v>
      </c>
      <c r="I14" s="4" t="n">
        <v>13596.29</v>
      </c>
      <c r="J14" s="4" t="n">
        <v>0.132</v>
      </c>
      <c r="K14" s="4" t="n">
        <v>0.207</v>
      </c>
    </row>
    <row r="15" customFormat="false" ht="15" hidden="false" customHeight="false" outlineLevel="0" collapsed="false">
      <c r="A15" s="4" t="s">
        <v>298</v>
      </c>
      <c r="B15" s="4" t="s">
        <v>299</v>
      </c>
      <c r="C15" s="4" t="s">
        <v>273</v>
      </c>
      <c r="D15" s="4" t="n">
        <v>560601.96</v>
      </c>
      <c r="E15" s="4" t="n">
        <v>891722.96</v>
      </c>
      <c r="F15" s="4" t="n">
        <v>41383.23</v>
      </c>
      <c r="G15" s="4" t="n">
        <v>15738.73</v>
      </c>
      <c r="H15" s="4" t="n">
        <v>23558.37</v>
      </c>
      <c r="I15" s="4" t="n">
        <v>31992.06</v>
      </c>
      <c r="J15" s="4" t="n">
        <v>0.172</v>
      </c>
      <c r="K15" s="4" t="n">
        <v>0.245</v>
      </c>
    </row>
    <row r="16" customFormat="false" ht="15" hidden="false" customHeight="false" outlineLevel="0" collapsed="false">
      <c r="A16" s="4" t="s">
        <v>300</v>
      </c>
      <c r="B16" s="4" t="s">
        <v>301</v>
      </c>
      <c r="C16" s="4" t="s">
        <v>278</v>
      </c>
      <c r="D16" s="4" t="n">
        <v>17176.53</v>
      </c>
      <c r="E16" s="4" t="n">
        <v>24377.65</v>
      </c>
      <c r="F16" s="4" t="n">
        <v>786.94</v>
      </c>
      <c r="G16" s="4" t="n">
        <v>644.35</v>
      </c>
      <c r="H16" s="4" t="n">
        <v>821.51</v>
      </c>
      <c r="I16" s="4" t="n">
        <v>733.41</v>
      </c>
      <c r="J16" s="4" t="n">
        <v>0.166</v>
      </c>
      <c r="K16" s="4" t="n">
        <v>0.204</v>
      </c>
    </row>
    <row r="17" customFormat="false" ht="15" hidden="false" customHeight="false" outlineLevel="0" collapsed="false">
      <c r="A17" s="4" t="s">
        <v>302</v>
      </c>
      <c r="B17" s="4" t="s">
        <v>303</v>
      </c>
      <c r="C17" s="4" t="s">
        <v>278</v>
      </c>
      <c r="D17" s="4" t="n">
        <v>11398.31</v>
      </c>
      <c r="E17" s="4" t="n">
        <v>17128.08</v>
      </c>
      <c r="F17" s="4" t="n">
        <v>863.12</v>
      </c>
      <c r="G17" s="4" t="n">
        <v>534.74</v>
      </c>
      <c r="H17" s="4" t="n">
        <v>312.2</v>
      </c>
      <c r="I17" s="4" t="n">
        <v>384.34</v>
      </c>
      <c r="J17" s="4" t="n">
        <v>0.163</v>
      </c>
      <c r="K17" s="4" t="n">
        <v>0.167</v>
      </c>
    </row>
    <row r="18" customFormat="false" ht="15" hidden="false" customHeight="false" outlineLevel="0" collapsed="false">
      <c r="A18" s="4" t="s">
        <v>304</v>
      </c>
      <c r="B18" s="4" t="s">
        <v>305</v>
      </c>
      <c r="C18" s="4" t="s">
        <v>283</v>
      </c>
      <c r="D18" s="4" t="n">
        <v>56706.82</v>
      </c>
      <c r="E18" s="4" t="n">
        <v>82415.95</v>
      </c>
      <c r="F18" s="4" t="n">
        <v>0</v>
      </c>
      <c r="G18" s="4" t="n">
        <v>1377.55</v>
      </c>
      <c r="H18" s="4" t="n">
        <v>1695.87</v>
      </c>
      <c r="I18" s="4" t="n">
        <v>2901.86</v>
      </c>
      <c r="J18" s="4" t="n">
        <v>0.15</v>
      </c>
      <c r="K18" s="4" t="n">
        <v>0.194</v>
      </c>
    </row>
    <row r="19" customFormat="false" ht="15" hidden="false" customHeight="false" outlineLevel="0" collapsed="false">
      <c r="A19" s="4" t="s">
        <v>306</v>
      </c>
      <c r="B19" s="4" t="s">
        <v>307</v>
      </c>
      <c r="C19" s="4" t="s">
        <v>286</v>
      </c>
      <c r="D19" s="4" t="n">
        <v>59730.37</v>
      </c>
      <c r="E19" s="4" t="n">
        <v>93719.35</v>
      </c>
      <c r="F19" s="4" t="n">
        <v>0</v>
      </c>
      <c r="G19" s="4" t="n">
        <v>2336.52</v>
      </c>
      <c r="H19" s="4" t="n">
        <v>1604.99</v>
      </c>
      <c r="I19" s="4" t="n">
        <v>1434.1</v>
      </c>
      <c r="J19" s="4" t="n">
        <v>0.156</v>
      </c>
      <c r="K19" s="4" t="n">
        <v>0.173</v>
      </c>
    </row>
    <row r="20" customFormat="false" ht="15" hidden="false" customHeight="false" outlineLevel="0" collapsed="false">
      <c r="A20" s="4" t="s">
        <v>308</v>
      </c>
      <c r="B20" s="4" t="s">
        <v>309</v>
      </c>
      <c r="C20" s="4" t="s">
        <v>289</v>
      </c>
      <c r="D20" s="4" t="n">
        <v>9926.53</v>
      </c>
      <c r="E20" s="4" t="n">
        <v>13954.33</v>
      </c>
      <c r="F20" s="4" t="n">
        <v>979.72</v>
      </c>
      <c r="G20" s="4" t="n">
        <v>384.75</v>
      </c>
      <c r="H20" s="4" t="n">
        <v>455.33</v>
      </c>
      <c r="I20" s="4" t="n">
        <v>481.77</v>
      </c>
      <c r="J20" s="4" t="n">
        <v>0.124</v>
      </c>
      <c r="K20" s="4" t="n">
        <v>0.232</v>
      </c>
    </row>
    <row r="21" customFormat="false" ht="15" hidden="false" customHeight="false" outlineLevel="0" collapsed="false">
      <c r="A21" s="4" t="s">
        <v>310</v>
      </c>
      <c r="B21" s="4" t="s">
        <v>311</v>
      </c>
      <c r="C21" s="4" t="s">
        <v>289</v>
      </c>
      <c r="D21" s="4" t="n">
        <v>10074.57</v>
      </c>
      <c r="E21" s="4" t="n">
        <v>17159.85</v>
      </c>
      <c r="F21" s="4" t="n">
        <v>604.19</v>
      </c>
      <c r="G21" s="4" t="n">
        <v>458.57</v>
      </c>
      <c r="H21" s="4" t="n">
        <v>445.79</v>
      </c>
      <c r="I21" s="4" t="n">
        <v>582.95</v>
      </c>
      <c r="J21" s="4" t="n">
        <v>0.141</v>
      </c>
      <c r="K21" s="4" t="n">
        <v>0.216</v>
      </c>
    </row>
    <row r="22" customFormat="false" ht="15" hidden="false" customHeight="false" outlineLevel="0" collapsed="false">
      <c r="A22" s="4" t="s">
        <v>312</v>
      </c>
      <c r="B22" s="4" t="s">
        <v>313</v>
      </c>
      <c r="C22" s="4" t="s">
        <v>267</v>
      </c>
      <c r="D22" s="4" t="n">
        <v>87185.42</v>
      </c>
      <c r="E22" s="4" t="n">
        <v>156611.08</v>
      </c>
      <c r="F22" s="4" t="n">
        <v>4879.23</v>
      </c>
      <c r="G22" s="4" t="n">
        <v>3226.15</v>
      </c>
      <c r="H22" s="4" t="n">
        <v>3704.07</v>
      </c>
      <c r="I22" s="4" t="n">
        <v>4389.41</v>
      </c>
      <c r="J22" s="4" t="n">
        <v>0.164</v>
      </c>
      <c r="K22" s="4" t="n">
        <v>0.196</v>
      </c>
    </row>
    <row r="23" customFormat="false" ht="15" hidden="false" customHeight="false" outlineLevel="0" collapsed="false">
      <c r="A23" s="4" t="s">
        <v>314</v>
      </c>
      <c r="B23" s="4" t="s">
        <v>315</v>
      </c>
      <c r="C23" s="4" t="s">
        <v>270</v>
      </c>
      <c r="D23" s="4" t="n">
        <v>246972.81</v>
      </c>
      <c r="E23" s="4" t="n">
        <v>416258.93</v>
      </c>
      <c r="F23" s="4" t="n">
        <v>9676.61</v>
      </c>
      <c r="G23" s="4" t="n">
        <v>6901.25</v>
      </c>
      <c r="H23" s="4" t="n">
        <v>8662.08</v>
      </c>
      <c r="I23" s="4" t="n">
        <v>16012.78</v>
      </c>
      <c r="J23" s="4" t="n">
        <v>0.174</v>
      </c>
      <c r="K23" s="4" t="n">
        <v>0.177</v>
      </c>
    </row>
    <row r="24" customFormat="false" ht="15" hidden="false" customHeight="false" outlineLevel="0" collapsed="false">
      <c r="A24" s="4" t="s">
        <v>316</v>
      </c>
      <c r="B24" s="4" t="s">
        <v>317</v>
      </c>
      <c r="C24" s="4" t="s">
        <v>273</v>
      </c>
      <c r="D24" s="4" t="n">
        <v>199825.92</v>
      </c>
      <c r="E24" s="4" t="n">
        <v>358450.1</v>
      </c>
      <c r="F24" s="4" t="n">
        <v>8154.82</v>
      </c>
      <c r="G24" s="4" t="n">
        <v>5576.48</v>
      </c>
      <c r="H24" s="4" t="n">
        <v>4326.87</v>
      </c>
      <c r="I24" s="4" t="n">
        <v>10343.69</v>
      </c>
      <c r="J24" s="4" t="n">
        <v>0.173</v>
      </c>
      <c r="K24" s="4" t="n">
        <v>0.226</v>
      </c>
    </row>
    <row r="25" customFormat="false" ht="15" hidden="false" customHeight="false" outlineLevel="0" collapsed="false">
      <c r="A25" s="4" t="s">
        <v>318</v>
      </c>
      <c r="B25" s="4" t="s">
        <v>319</v>
      </c>
      <c r="C25" s="4" t="s">
        <v>273</v>
      </c>
      <c r="D25" s="4" t="n">
        <v>468670.9</v>
      </c>
      <c r="E25" s="4" t="n">
        <v>679017.38</v>
      </c>
      <c r="F25" s="4" t="n">
        <v>25794.61</v>
      </c>
      <c r="G25" s="4" t="n">
        <v>18342</v>
      </c>
      <c r="H25" s="4" t="n">
        <v>7450.48</v>
      </c>
      <c r="I25" s="4" t="n">
        <v>17062.33</v>
      </c>
      <c r="J25" s="4" t="n">
        <v>0.138</v>
      </c>
      <c r="K25" s="4" t="n">
        <v>0.163</v>
      </c>
    </row>
    <row r="26" customFormat="false" ht="15" hidden="false" customHeight="false" outlineLevel="0" collapsed="false">
      <c r="A26" s="4" t="s">
        <v>320</v>
      </c>
      <c r="B26" s="4" t="s">
        <v>321</v>
      </c>
      <c r="C26" s="4" t="s">
        <v>278</v>
      </c>
      <c r="D26" s="4" t="n">
        <v>24258.39</v>
      </c>
      <c r="E26" s="4" t="n">
        <v>40420.87</v>
      </c>
      <c r="F26" s="4" t="n">
        <v>846.5</v>
      </c>
      <c r="G26" s="4" t="n">
        <v>952.02</v>
      </c>
      <c r="H26" s="4" t="n">
        <v>1001.59</v>
      </c>
      <c r="I26" s="4" t="n">
        <v>1573.87</v>
      </c>
      <c r="J26" s="4" t="n">
        <v>0.169</v>
      </c>
      <c r="K26" s="4" t="n">
        <v>0.195</v>
      </c>
    </row>
    <row r="27" customFormat="false" ht="15" hidden="false" customHeight="false" outlineLevel="0" collapsed="false">
      <c r="A27" s="4" t="s">
        <v>322</v>
      </c>
      <c r="B27" s="4" t="s">
        <v>323</v>
      </c>
      <c r="C27" s="4" t="s">
        <v>278</v>
      </c>
      <c r="D27" s="4" t="n">
        <v>33719.5</v>
      </c>
      <c r="E27" s="4" t="n">
        <v>49655.27</v>
      </c>
      <c r="F27" s="4" t="n">
        <v>1863.23</v>
      </c>
      <c r="G27" s="4" t="n">
        <v>912.25</v>
      </c>
      <c r="H27" s="4" t="n">
        <v>967.73</v>
      </c>
      <c r="I27" s="4" t="n">
        <v>1467.59</v>
      </c>
      <c r="J27" s="4" t="n">
        <v>0.134</v>
      </c>
      <c r="K27" s="4" t="n">
        <v>0.225</v>
      </c>
    </row>
    <row r="28" customFormat="false" ht="15" hidden="false" customHeight="false" outlineLevel="0" collapsed="false">
      <c r="A28" s="4" t="s">
        <v>324</v>
      </c>
      <c r="B28" s="4" t="s">
        <v>325</v>
      </c>
      <c r="C28" s="4" t="s">
        <v>283</v>
      </c>
      <c r="D28" s="4" t="n">
        <v>24320.03</v>
      </c>
      <c r="E28" s="4" t="n">
        <v>36103.31</v>
      </c>
      <c r="F28" s="4" t="n">
        <v>0</v>
      </c>
      <c r="G28" s="4" t="n">
        <v>613.73</v>
      </c>
      <c r="H28" s="4" t="n">
        <v>670.09</v>
      </c>
      <c r="I28" s="4" t="n">
        <v>928.49</v>
      </c>
      <c r="J28" s="4" t="n">
        <v>0.142</v>
      </c>
      <c r="K28" s="4" t="n">
        <v>0.174</v>
      </c>
    </row>
    <row r="29" customFormat="false" ht="15" hidden="false" customHeight="false" outlineLevel="0" collapsed="false">
      <c r="A29" s="4" t="s">
        <v>326</v>
      </c>
      <c r="B29" s="4" t="s">
        <v>327</v>
      </c>
      <c r="C29" s="4" t="s">
        <v>286</v>
      </c>
      <c r="D29" s="4" t="n">
        <v>47684.09</v>
      </c>
      <c r="E29" s="4" t="n">
        <v>84862.32</v>
      </c>
      <c r="F29" s="4" t="n">
        <v>0</v>
      </c>
      <c r="G29" s="4" t="n">
        <v>1903.42</v>
      </c>
      <c r="H29" s="4" t="n">
        <v>1703.27</v>
      </c>
      <c r="I29" s="4" t="n">
        <v>3434.7</v>
      </c>
      <c r="J29" s="4" t="n">
        <v>0.18</v>
      </c>
      <c r="K29" s="4" t="n">
        <v>0.211</v>
      </c>
    </row>
    <row r="30" customFormat="false" ht="15" hidden="false" customHeight="false" outlineLevel="0" collapsed="false">
      <c r="A30" s="4" t="s">
        <v>328</v>
      </c>
      <c r="B30" s="4" t="s">
        <v>329</v>
      </c>
      <c r="C30" s="4" t="s">
        <v>289</v>
      </c>
      <c r="D30" s="4" t="n">
        <v>13456.91</v>
      </c>
      <c r="E30" s="4" t="n">
        <v>23794.94</v>
      </c>
      <c r="F30" s="4" t="n">
        <v>1149.24</v>
      </c>
      <c r="G30" s="4" t="n">
        <v>517.25</v>
      </c>
      <c r="H30" s="4" t="n">
        <v>178.25</v>
      </c>
      <c r="I30" s="4" t="n">
        <v>281.9</v>
      </c>
      <c r="J30" s="4" t="n">
        <v>0.149</v>
      </c>
      <c r="K30" s="4" t="n">
        <v>0.199</v>
      </c>
    </row>
    <row r="31" customFormat="false" ht="15" hidden="false" customHeight="false" outlineLevel="0" collapsed="false">
      <c r="A31" s="4" t="s">
        <v>330</v>
      </c>
      <c r="B31" s="4" t="s">
        <v>331</v>
      </c>
      <c r="C31" s="4" t="s">
        <v>289</v>
      </c>
      <c r="D31" s="4" t="n">
        <v>6703.07</v>
      </c>
      <c r="E31" s="4" t="n">
        <v>10752.24</v>
      </c>
      <c r="F31" s="4" t="n">
        <v>460.18</v>
      </c>
      <c r="G31" s="4" t="n">
        <v>358.38</v>
      </c>
      <c r="H31" s="4" t="n">
        <v>96.16</v>
      </c>
      <c r="I31" s="4" t="n">
        <v>224.62</v>
      </c>
      <c r="J31" s="4" t="n">
        <v>0.168</v>
      </c>
      <c r="K31" s="4" t="n">
        <v>0.235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4" min="3" style="0" width="12"/>
    <col collapsed="false" customWidth="true" hidden="false" outlineLevel="0" max="5" min="5" style="0" width="21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9"/>
    <col collapsed="false" customWidth="true" hidden="false" outlineLevel="0" max="10" min="10" style="0" width="24"/>
    <col collapsed="false" customWidth="true" hidden="false" outlineLevel="0" max="11" min="11" style="0" width="18"/>
    <col collapsed="false" customWidth="true" hidden="false" outlineLevel="0" max="12" min="12" style="0" width="20"/>
    <col collapsed="false" customWidth="true" hidden="false" outlineLevel="0" max="13" min="13" style="0" width="21"/>
    <col collapsed="false" customWidth="true" hidden="false" outlineLevel="0" max="14" min="14" style="0" width="10"/>
  </cols>
  <sheetData>
    <row r="1" customFormat="false" ht="15" hidden="false" customHeight="false" outlineLevel="0" collapsed="false">
      <c r="A1" s="3" t="s">
        <v>332</v>
      </c>
      <c r="B1" s="3" t="s">
        <v>22</v>
      </c>
      <c r="C1" s="3" t="s">
        <v>254</v>
      </c>
      <c r="D1" s="3" t="s">
        <v>333</v>
      </c>
      <c r="E1" s="3" t="s">
        <v>334</v>
      </c>
      <c r="F1" s="3" t="s">
        <v>335</v>
      </c>
      <c r="G1" s="3" t="s">
        <v>336</v>
      </c>
      <c r="H1" s="3" t="s">
        <v>337</v>
      </c>
      <c r="I1" s="3" t="s">
        <v>338</v>
      </c>
      <c r="J1" s="3" t="s">
        <v>339</v>
      </c>
      <c r="K1" s="3" t="s">
        <v>340</v>
      </c>
      <c r="L1" s="3" t="s">
        <v>341</v>
      </c>
      <c r="M1" s="3" t="s">
        <v>342</v>
      </c>
      <c r="N1" s="3" t="s">
        <v>343</v>
      </c>
    </row>
    <row r="2" customFormat="false" ht="15" hidden="false" customHeight="false" outlineLevel="0" collapsed="false">
      <c r="A2" s="4" t="s">
        <v>344</v>
      </c>
      <c r="B2" s="4" t="s">
        <v>208</v>
      </c>
      <c r="C2" s="4" t="s">
        <v>330</v>
      </c>
      <c r="D2" s="4" t="n">
        <v>43008.96</v>
      </c>
      <c r="E2" s="4" t="n">
        <v>0.0775</v>
      </c>
      <c r="F2" s="4" t="n">
        <v>39677.7</v>
      </c>
      <c r="G2" s="4" t="n">
        <v>31369.64</v>
      </c>
      <c r="H2" s="4" t="n">
        <v>8308.06</v>
      </c>
      <c r="I2" s="4" t="n">
        <v>0.2094</v>
      </c>
      <c r="J2" s="4" t="n">
        <v>1.067</v>
      </c>
      <c r="K2" s="4" t="n">
        <v>64</v>
      </c>
      <c r="L2" s="4" t="n">
        <v>30</v>
      </c>
      <c r="M2" s="4" t="n">
        <v>12</v>
      </c>
      <c r="N2" s="4" t="n">
        <v>0</v>
      </c>
    </row>
    <row r="3" customFormat="false" ht="15" hidden="false" customHeight="false" outlineLevel="0" collapsed="false">
      <c r="A3" s="4" t="s">
        <v>345</v>
      </c>
      <c r="B3" s="4" t="s">
        <v>228</v>
      </c>
      <c r="C3" s="4" t="s">
        <v>296</v>
      </c>
      <c r="D3" s="4" t="n">
        <v>2062838.42</v>
      </c>
      <c r="E3" s="4" t="n">
        <v>0.0398</v>
      </c>
      <c r="F3" s="4" t="n">
        <v>1980659.07</v>
      </c>
      <c r="G3" s="4" t="n">
        <v>1266474.04</v>
      </c>
      <c r="H3" s="4" t="n">
        <v>714185.03</v>
      </c>
      <c r="I3" s="4" t="n">
        <v>0.3606</v>
      </c>
      <c r="J3" s="4" t="n">
        <v>1.044</v>
      </c>
      <c r="K3" s="4" t="n">
        <v>67</v>
      </c>
      <c r="L3" s="4" t="n">
        <v>30</v>
      </c>
      <c r="M3" s="4" t="n">
        <v>1</v>
      </c>
      <c r="N3" s="4" t="n">
        <v>0</v>
      </c>
    </row>
    <row r="4" customFormat="false" ht="15" hidden="false" customHeight="false" outlineLevel="0" collapsed="false">
      <c r="A4" s="4" t="s">
        <v>346</v>
      </c>
      <c r="B4" s="4" t="s">
        <v>206</v>
      </c>
      <c r="C4" s="4" t="s">
        <v>296</v>
      </c>
      <c r="D4" s="4" t="n">
        <v>1031419.21</v>
      </c>
      <c r="E4" s="4" t="n">
        <v>0.0441</v>
      </c>
      <c r="F4" s="4" t="n">
        <v>985952.76</v>
      </c>
      <c r="G4" s="4" t="n">
        <v>633237.02</v>
      </c>
      <c r="H4" s="4" t="n">
        <v>352715.74</v>
      </c>
      <c r="I4" s="4" t="n">
        <v>0.3577</v>
      </c>
      <c r="J4" s="4" t="n">
        <v>0.942</v>
      </c>
      <c r="K4" s="4" t="n">
        <v>75</v>
      </c>
      <c r="L4" s="4" t="n">
        <v>90</v>
      </c>
      <c r="M4" s="4" t="n">
        <v>0</v>
      </c>
      <c r="N4" s="4" t="n">
        <v>0</v>
      </c>
    </row>
    <row r="5" customFormat="false" ht="15" hidden="false" customHeight="false" outlineLevel="0" collapsed="false">
      <c r="A5" s="4" t="s">
        <v>347</v>
      </c>
      <c r="B5" s="4" t="s">
        <v>220</v>
      </c>
      <c r="C5" s="4" t="s">
        <v>318</v>
      </c>
      <c r="D5" s="4" t="n">
        <v>679017.38</v>
      </c>
      <c r="E5" s="4" t="n">
        <v>0.0467</v>
      </c>
      <c r="F5" s="4" t="n">
        <v>647326.79</v>
      </c>
      <c r="G5" s="4" t="n">
        <v>537320.32</v>
      </c>
      <c r="H5" s="4" t="n">
        <v>110006.47</v>
      </c>
      <c r="I5" s="4" t="n">
        <v>0.1699</v>
      </c>
      <c r="J5" s="4" t="n">
        <v>0.908</v>
      </c>
      <c r="K5" s="4" t="n">
        <v>41</v>
      </c>
      <c r="L5" s="4" t="n">
        <v>30</v>
      </c>
      <c r="M5" s="4" t="n">
        <v>0</v>
      </c>
      <c r="N5" s="4" t="n">
        <v>1</v>
      </c>
    </row>
    <row r="6" customFormat="false" ht="15" hidden="false" customHeight="false" outlineLevel="0" collapsed="false">
      <c r="A6" s="4" t="s">
        <v>348</v>
      </c>
      <c r="B6" s="4" t="s">
        <v>36</v>
      </c>
      <c r="C6" s="4" t="s">
        <v>296</v>
      </c>
      <c r="D6" s="4" t="n">
        <v>5157096.05</v>
      </c>
      <c r="E6" s="4" t="n">
        <v>0.0963</v>
      </c>
      <c r="F6" s="4" t="n">
        <v>4660692.37</v>
      </c>
      <c r="G6" s="4" t="n">
        <v>3166185.1</v>
      </c>
      <c r="H6" s="4" t="n">
        <v>1494507.27</v>
      </c>
      <c r="I6" s="4" t="n">
        <v>0.3207</v>
      </c>
      <c r="J6" s="4" t="n">
        <v>0.982</v>
      </c>
      <c r="K6" s="4" t="n">
        <v>66</v>
      </c>
      <c r="L6" s="4" t="n">
        <v>45</v>
      </c>
      <c r="M6" s="4" t="n">
        <v>0</v>
      </c>
      <c r="N6" s="4" t="n">
        <v>1</v>
      </c>
    </row>
    <row r="7" customFormat="false" ht="15" hidden="false" customHeight="false" outlineLevel="0" collapsed="false">
      <c r="A7" s="4" t="s">
        <v>349</v>
      </c>
      <c r="B7" s="4" t="s">
        <v>140</v>
      </c>
      <c r="C7" s="4" t="s">
        <v>312</v>
      </c>
      <c r="D7" s="4" t="n">
        <v>156611.08</v>
      </c>
      <c r="E7" s="4" t="n">
        <v>0.1059</v>
      </c>
      <c r="F7" s="4" t="n">
        <v>140019.85</v>
      </c>
      <c r="G7" s="4" t="n">
        <v>103384.28</v>
      </c>
      <c r="H7" s="4" t="n">
        <v>36635.57</v>
      </c>
      <c r="I7" s="4" t="n">
        <v>0.2616</v>
      </c>
      <c r="J7" s="4" t="n">
        <v>0.823</v>
      </c>
      <c r="K7" s="4" t="n">
        <v>56</v>
      </c>
      <c r="L7" s="4" t="n">
        <v>30</v>
      </c>
      <c r="M7" s="4" t="n">
        <v>1</v>
      </c>
      <c r="N7" s="4" t="n">
        <v>1</v>
      </c>
    </row>
    <row r="8" customFormat="false" ht="15" hidden="false" customHeight="false" outlineLevel="0" collapsed="false">
      <c r="A8" s="4" t="s">
        <v>350</v>
      </c>
      <c r="B8" s="4" t="s">
        <v>206</v>
      </c>
      <c r="C8" s="4" t="s">
        <v>271</v>
      </c>
      <c r="D8" s="4" t="n">
        <v>687164.03</v>
      </c>
      <c r="E8" s="4" t="n">
        <v>0</v>
      </c>
      <c r="F8" s="4" t="n">
        <v>687164.03</v>
      </c>
      <c r="G8" s="4" t="n">
        <v>529502.76</v>
      </c>
      <c r="H8" s="4" t="n">
        <v>157661.27</v>
      </c>
      <c r="I8" s="4" t="n">
        <v>0.2294</v>
      </c>
      <c r="J8" s="4" t="n">
        <v>0.812</v>
      </c>
      <c r="K8" s="4" t="n">
        <v>78</v>
      </c>
      <c r="L8" s="4" t="n">
        <v>30</v>
      </c>
      <c r="M8" s="4" t="n">
        <v>0</v>
      </c>
      <c r="N8" s="4" t="n">
        <v>1</v>
      </c>
    </row>
    <row r="9" customFormat="false" ht="15" hidden="false" customHeight="false" outlineLevel="0" collapsed="false">
      <c r="A9" s="4" t="s">
        <v>351</v>
      </c>
      <c r="B9" s="4" t="s">
        <v>132</v>
      </c>
      <c r="C9" s="4" t="s">
        <v>316</v>
      </c>
      <c r="D9" s="4" t="n">
        <v>1792250.5</v>
      </c>
      <c r="E9" s="4" t="n">
        <v>0.0713</v>
      </c>
      <c r="F9" s="4" t="n">
        <v>1664448.5</v>
      </c>
      <c r="G9" s="4" t="n">
        <v>1141138.9</v>
      </c>
      <c r="H9" s="4" t="n">
        <v>523309.6</v>
      </c>
      <c r="I9" s="4" t="n">
        <v>0.3144</v>
      </c>
      <c r="J9" s="4" t="n">
        <v>0.942</v>
      </c>
      <c r="K9" s="4" t="n">
        <v>67</v>
      </c>
      <c r="L9" s="4" t="n">
        <v>45</v>
      </c>
      <c r="M9" s="4" t="n">
        <v>7</v>
      </c>
      <c r="N9" s="4" t="n">
        <v>0</v>
      </c>
    </row>
    <row r="10" customFormat="false" ht="15" hidden="false" customHeight="false" outlineLevel="0" collapsed="false">
      <c r="A10" s="4" t="s">
        <v>352</v>
      </c>
      <c r="B10" s="4" t="s">
        <v>67</v>
      </c>
      <c r="C10" s="4" t="s">
        <v>284</v>
      </c>
      <c r="D10" s="4" t="n">
        <v>222365.55</v>
      </c>
      <c r="E10" s="4" t="n">
        <v>0.0983</v>
      </c>
      <c r="F10" s="4" t="n">
        <v>200517.41</v>
      </c>
      <c r="G10" s="4" t="n">
        <v>159029.2</v>
      </c>
      <c r="H10" s="4" t="n">
        <v>41488.21</v>
      </c>
      <c r="I10" s="4" t="n">
        <v>0.2069</v>
      </c>
      <c r="J10" s="4" t="n">
        <v>1.091</v>
      </c>
      <c r="K10" s="4" t="n">
        <v>85</v>
      </c>
      <c r="L10" s="4" t="n">
        <v>30</v>
      </c>
      <c r="M10" s="4" t="n">
        <v>4</v>
      </c>
      <c r="N10" s="4" t="n">
        <v>0</v>
      </c>
    </row>
    <row r="11" customFormat="false" ht="15" hidden="false" customHeight="false" outlineLevel="0" collapsed="false">
      <c r="A11" s="4" t="s">
        <v>353</v>
      </c>
      <c r="B11" s="4" t="s">
        <v>198</v>
      </c>
      <c r="C11" s="4" t="s">
        <v>284</v>
      </c>
      <c r="D11" s="4" t="n">
        <v>88946.22</v>
      </c>
      <c r="E11" s="4" t="n">
        <v>0.0928</v>
      </c>
      <c r="F11" s="4" t="n">
        <v>80695.29</v>
      </c>
      <c r="G11" s="4" t="n">
        <v>63611.68</v>
      </c>
      <c r="H11" s="4" t="n">
        <v>17083.61</v>
      </c>
      <c r="I11" s="4" t="n">
        <v>0.2117</v>
      </c>
      <c r="J11" s="4" t="n">
        <v>0.983</v>
      </c>
      <c r="K11" s="4" t="n">
        <v>52</v>
      </c>
      <c r="L11" s="4" t="n">
        <v>30</v>
      </c>
      <c r="M11" s="4" t="n">
        <v>4</v>
      </c>
      <c r="N11" s="4" t="n">
        <v>1</v>
      </c>
    </row>
    <row r="12" customFormat="false" ht="15" hidden="false" customHeight="false" outlineLevel="0" collapsed="false">
      <c r="A12" s="4" t="s">
        <v>354</v>
      </c>
      <c r="B12" s="4" t="s">
        <v>108</v>
      </c>
      <c r="C12" s="4" t="s">
        <v>276</v>
      </c>
      <c r="D12" s="4" t="n">
        <v>48628</v>
      </c>
      <c r="E12" s="4" t="n">
        <v>0.1006</v>
      </c>
      <c r="F12" s="4" t="n">
        <v>43735.71</v>
      </c>
      <c r="G12" s="4" t="n">
        <v>32284.33</v>
      </c>
      <c r="H12" s="4" t="n">
        <v>11451.38</v>
      </c>
      <c r="I12" s="4" t="n">
        <v>0.2618</v>
      </c>
      <c r="J12" s="4" t="n">
        <v>1.233</v>
      </c>
      <c r="K12" s="4" t="n">
        <v>24</v>
      </c>
      <c r="L12" s="4" t="n">
        <v>45</v>
      </c>
      <c r="M12" s="4" t="n">
        <v>0</v>
      </c>
      <c r="N12" s="4" t="n">
        <v>1</v>
      </c>
    </row>
    <row r="13" customFormat="false" ht="15" hidden="false" customHeight="false" outlineLevel="0" collapsed="false">
      <c r="A13" s="4" t="s">
        <v>355</v>
      </c>
      <c r="B13" s="4" t="s">
        <v>242</v>
      </c>
      <c r="C13" s="4" t="s">
        <v>318</v>
      </c>
      <c r="D13" s="4" t="n">
        <v>2716069.52</v>
      </c>
      <c r="E13" s="4" t="n">
        <v>0.1346</v>
      </c>
      <c r="F13" s="4" t="n">
        <v>2350506.28</v>
      </c>
      <c r="G13" s="4" t="n">
        <v>2149281.28</v>
      </c>
      <c r="H13" s="4" t="n">
        <v>201225</v>
      </c>
      <c r="I13" s="4" t="n">
        <v>0.0856</v>
      </c>
      <c r="J13" s="4" t="n">
        <v>1.094</v>
      </c>
      <c r="K13" s="4" t="n">
        <v>63</v>
      </c>
      <c r="L13" s="4" t="n">
        <v>90</v>
      </c>
      <c r="M13" s="4" t="n">
        <v>0</v>
      </c>
      <c r="N13" s="4" t="n">
        <v>1</v>
      </c>
    </row>
    <row r="14" customFormat="false" ht="15" hidden="false" customHeight="false" outlineLevel="0" collapsed="false">
      <c r="A14" s="4" t="s">
        <v>356</v>
      </c>
      <c r="B14" s="4" t="s">
        <v>158</v>
      </c>
      <c r="C14" s="4" t="s">
        <v>268</v>
      </c>
      <c r="D14" s="4" t="n">
        <v>2079575.15</v>
      </c>
      <c r="E14" s="4" t="n">
        <v>0.031</v>
      </c>
      <c r="F14" s="4" t="n">
        <v>2015095.4</v>
      </c>
      <c r="G14" s="4" t="n">
        <v>1655086.65</v>
      </c>
      <c r="H14" s="4" t="n">
        <v>360008.75</v>
      </c>
      <c r="I14" s="4" t="n">
        <v>0.1787</v>
      </c>
      <c r="J14" s="4" t="n">
        <v>0.934</v>
      </c>
      <c r="K14" s="4" t="n">
        <v>62</v>
      </c>
      <c r="L14" s="4" t="n">
        <v>30</v>
      </c>
      <c r="M14" s="4" t="n">
        <v>6</v>
      </c>
      <c r="N14" s="4" t="n">
        <v>0</v>
      </c>
    </row>
    <row r="15" customFormat="false" ht="15" hidden="false" customHeight="false" outlineLevel="0" collapsed="false">
      <c r="A15" s="4" t="s">
        <v>357</v>
      </c>
      <c r="B15" s="4" t="s">
        <v>226</v>
      </c>
      <c r="C15" s="4" t="s">
        <v>274</v>
      </c>
      <c r="D15" s="4" t="n">
        <v>1419893.28</v>
      </c>
      <c r="E15" s="4" t="n">
        <v>0.1467</v>
      </c>
      <c r="F15" s="4" t="n">
        <v>1211607.78</v>
      </c>
      <c r="G15" s="4" t="n">
        <v>1117155.44</v>
      </c>
      <c r="H15" s="4" t="n">
        <v>94452.34</v>
      </c>
      <c r="I15" s="4" t="n">
        <v>0.078</v>
      </c>
      <c r="J15" s="4" t="n">
        <v>1.001</v>
      </c>
      <c r="K15" s="4" t="n">
        <v>55</v>
      </c>
      <c r="L15" s="4" t="n">
        <v>60</v>
      </c>
      <c r="M15" s="4" t="n">
        <v>9</v>
      </c>
      <c r="N15" s="4" t="n">
        <v>0</v>
      </c>
    </row>
    <row r="16" customFormat="false" ht="15" hidden="false" customHeight="false" outlineLevel="0" collapsed="false">
      <c r="A16" s="4" t="s">
        <v>358</v>
      </c>
      <c r="B16" s="4" t="s">
        <v>178</v>
      </c>
      <c r="C16" s="4" t="s">
        <v>287</v>
      </c>
      <c r="D16" s="4" t="n">
        <v>61797.48</v>
      </c>
      <c r="E16" s="4" t="n">
        <v>0.0279</v>
      </c>
      <c r="F16" s="4" t="n">
        <v>60073.66</v>
      </c>
      <c r="G16" s="4" t="n">
        <v>54848.52</v>
      </c>
      <c r="H16" s="4" t="n">
        <v>5225.14</v>
      </c>
      <c r="I16" s="4" t="n">
        <v>0.087</v>
      </c>
      <c r="J16" s="4" t="n">
        <v>1.004</v>
      </c>
      <c r="K16" s="4" t="n">
        <v>57</v>
      </c>
      <c r="L16" s="4" t="n">
        <v>60</v>
      </c>
      <c r="M16" s="4" t="n">
        <v>3</v>
      </c>
      <c r="N16" s="4" t="n">
        <v>0</v>
      </c>
    </row>
    <row r="17" customFormat="false" ht="15" hidden="false" customHeight="false" outlineLevel="0" collapsed="false">
      <c r="A17" s="4" t="s">
        <v>359</v>
      </c>
      <c r="B17" s="4" t="s">
        <v>76</v>
      </c>
      <c r="C17" s="4" t="s">
        <v>328</v>
      </c>
      <c r="D17" s="4" t="n">
        <v>118974.7</v>
      </c>
      <c r="E17" s="4" t="n">
        <v>0.1541</v>
      </c>
      <c r="F17" s="4" t="n">
        <v>100635.45</v>
      </c>
      <c r="G17" s="4" t="n">
        <v>77917.75</v>
      </c>
      <c r="H17" s="4" t="n">
        <v>22717.7</v>
      </c>
      <c r="I17" s="4" t="n">
        <v>0.2257</v>
      </c>
      <c r="J17" s="4" t="n">
        <v>1.043</v>
      </c>
      <c r="K17" s="4" t="n">
        <v>52</v>
      </c>
      <c r="L17" s="4" t="n">
        <v>45</v>
      </c>
      <c r="M17" s="4" t="n">
        <v>0</v>
      </c>
      <c r="N17" s="4" t="n">
        <v>0</v>
      </c>
    </row>
    <row r="18" customFormat="false" ht="15" hidden="false" customHeight="false" outlineLevel="0" collapsed="false">
      <c r="A18" s="4" t="s">
        <v>360</v>
      </c>
      <c r="B18" s="4" t="s">
        <v>144</v>
      </c>
      <c r="C18" s="4" t="s">
        <v>328</v>
      </c>
      <c r="D18" s="4" t="n">
        <v>23794.94</v>
      </c>
      <c r="E18" s="4" t="n">
        <v>0.0939</v>
      </c>
      <c r="F18" s="4" t="n">
        <v>21559.86</v>
      </c>
      <c r="G18" s="4" t="n">
        <v>15583.55</v>
      </c>
      <c r="H18" s="4" t="n">
        <v>5976.31</v>
      </c>
      <c r="I18" s="4" t="n">
        <v>0.2772</v>
      </c>
      <c r="J18" s="4" t="n">
        <v>1.191</v>
      </c>
      <c r="K18" s="4" t="n">
        <v>37</v>
      </c>
      <c r="L18" s="4" t="n">
        <v>60</v>
      </c>
      <c r="M18" s="4" t="n">
        <v>10</v>
      </c>
      <c r="N18" s="4" t="n">
        <v>0</v>
      </c>
    </row>
    <row r="19" customFormat="false" ht="15" hidden="false" customHeight="false" outlineLevel="0" collapsed="false">
      <c r="A19" s="4" t="s">
        <v>361</v>
      </c>
      <c r="B19" s="4" t="s">
        <v>198</v>
      </c>
      <c r="C19" s="4" t="s">
        <v>281</v>
      </c>
      <c r="D19" s="4" t="n">
        <v>19878.33</v>
      </c>
      <c r="E19" s="4" t="n">
        <v>0.0942</v>
      </c>
      <c r="F19" s="4" t="n">
        <v>18005.82</v>
      </c>
      <c r="G19" s="4" t="n">
        <v>15827.62</v>
      </c>
      <c r="H19" s="4" t="n">
        <v>2178.2</v>
      </c>
      <c r="I19" s="4" t="n">
        <v>0.121</v>
      </c>
      <c r="J19" s="4" t="n">
        <v>1</v>
      </c>
      <c r="K19" s="4" t="n">
        <v>65</v>
      </c>
      <c r="L19" s="4" t="n">
        <v>90</v>
      </c>
      <c r="M19" s="4" t="n">
        <v>5</v>
      </c>
      <c r="N19" s="4" t="n">
        <v>0</v>
      </c>
    </row>
    <row r="20" customFormat="false" ht="15" hidden="false" customHeight="false" outlineLevel="0" collapsed="false">
      <c r="A20" s="4" t="s">
        <v>362</v>
      </c>
      <c r="B20" s="4" t="s">
        <v>150</v>
      </c>
      <c r="C20" s="4" t="s">
        <v>324</v>
      </c>
      <c r="D20" s="4" t="n">
        <v>144413.24</v>
      </c>
      <c r="E20" s="4" t="n">
        <v>0.0746</v>
      </c>
      <c r="F20" s="4" t="n">
        <v>133635.82</v>
      </c>
      <c r="G20" s="4" t="n">
        <v>106129.36</v>
      </c>
      <c r="H20" s="4" t="n">
        <v>27506.46</v>
      </c>
      <c r="I20" s="4" t="n">
        <v>0.2058</v>
      </c>
      <c r="J20" s="4" t="n">
        <v>0.871</v>
      </c>
      <c r="K20" s="4" t="n">
        <v>79</v>
      </c>
      <c r="L20" s="4" t="n">
        <v>60</v>
      </c>
      <c r="M20" s="4" t="n">
        <v>0</v>
      </c>
      <c r="N20" s="4" t="n">
        <v>1</v>
      </c>
    </row>
    <row r="21" customFormat="false" ht="15" hidden="false" customHeight="false" outlineLevel="0" collapsed="false">
      <c r="A21" s="4" t="s">
        <v>363</v>
      </c>
      <c r="B21" s="4" t="s">
        <v>114</v>
      </c>
      <c r="C21" s="4" t="s">
        <v>298</v>
      </c>
      <c r="D21" s="4" t="n">
        <v>1783445.92</v>
      </c>
      <c r="E21" s="4" t="n">
        <v>0.0407</v>
      </c>
      <c r="F21" s="4" t="n">
        <v>1710807.07</v>
      </c>
      <c r="G21" s="4" t="n">
        <v>1346548.7</v>
      </c>
      <c r="H21" s="4" t="n">
        <v>364258.37</v>
      </c>
      <c r="I21" s="4" t="n">
        <v>0.2129</v>
      </c>
      <c r="J21" s="4" t="n">
        <v>0.957</v>
      </c>
      <c r="K21" s="4" t="n">
        <v>84</v>
      </c>
      <c r="L21" s="4" t="n">
        <v>30</v>
      </c>
      <c r="M21" s="4" t="n">
        <v>4</v>
      </c>
      <c r="N21" s="4" t="n">
        <v>0</v>
      </c>
    </row>
    <row r="22" customFormat="false" ht="15" hidden="false" customHeight="false" outlineLevel="0" collapsed="false">
      <c r="A22" s="4" t="s">
        <v>364</v>
      </c>
      <c r="B22" s="4" t="s">
        <v>204</v>
      </c>
      <c r="C22" s="4" t="s">
        <v>265</v>
      </c>
      <c r="D22" s="4" t="n">
        <v>958328.5</v>
      </c>
      <c r="E22" s="4" t="n">
        <v>0.1222</v>
      </c>
      <c r="F22" s="4" t="n">
        <v>841265.96</v>
      </c>
      <c r="G22" s="4" t="n">
        <v>678761.65</v>
      </c>
      <c r="H22" s="4" t="n">
        <v>162504.31</v>
      </c>
      <c r="I22" s="4" t="n">
        <v>0.1932</v>
      </c>
      <c r="J22" s="4" t="n">
        <v>0.957</v>
      </c>
      <c r="K22" s="4" t="n">
        <v>28</v>
      </c>
      <c r="L22" s="4" t="n">
        <v>90</v>
      </c>
      <c r="M22" s="4" t="n">
        <v>0</v>
      </c>
      <c r="N22" s="4" t="n">
        <v>1</v>
      </c>
    </row>
    <row r="23" customFormat="false" ht="15" hidden="false" customHeight="false" outlineLevel="0" collapsed="false">
      <c r="A23" s="4" t="s">
        <v>365</v>
      </c>
      <c r="B23" s="4" t="s">
        <v>132</v>
      </c>
      <c r="C23" s="4" t="s">
        <v>304</v>
      </c>
      <c r="D23" s="4" t="n">
        <v>247247.85</v>
      </c>
      <c r="E23" s="4" t="n">
        <v>0.0567</v>
      </c>
      <c r="F23" s="4" t="n">
        <v>233226.03</v>
      </c>
      <c r="G23" s="4" t="n">
        <v>188046.3</v>
      </c>
      <c r="H23" s="4" t="n">
        <v>45179.73</v>
      </c>
      <c r="I23" s="4" t="n">
        <v>0.1937</v>
      </c>
      <c r="J23" s="4" t="n">
        <v>1.19</v>
      </c>
      <c r="K23" s="4" t="n">
        <v>25</v>
      </c>
      <c r="L23" s="4" t="n">
        <v>30</v>
      </c>
      <c r="M23" s="4" t="n">
        <v>0</v>
      </c>
      <c r="N23" s="4" t="n">
        <v>0</v>
      </c>
    </row>
    <row r="24" customFormat="false" ht="15" hidden="false" customHeight="false" outlineLevel="0" collapsed="false">
      <c r="A24" s="4" t="s">
        <v>366</v>
      </c>
      <c r="B24" s="4" t="s">
        <v>74</v>
      </c>
      <c r="C24" s="4" t="s">
        <v>310</v>
      </c>
      <c r="D24" s="4" t="n">
        <v>34319.7</v>
      </c>
      <c r="E24" s="4" t="n">
        <v>0.0933</v>
      </c>
      <c r="F24" s="4" t="n">
        <v>31116.25</v>
      </c>
      <c r="G24" s="4" t="n">
        <v>24332.14</v>
      </c>
      <c r="H24" s="4" t="n">
        <v>6784.11</v>
      </c>
      <c r="I24" s="4" t="n">
        <v>0.218</v>
      </c>
      <c r="J24" s="4" t="n">
        <v>1.152</v>
      </c>
      <c r="K24" s="4" t="n">
        <v>50</v>
      </c>
      <c r="L24" s="4" t="n">
        <v>60</v>
      </c>
      <c r="M24" s="4" t="n">
        <v>10</v>
      </c>
      <c r="N24" s="4" t="n">
        <v>0</v>
      </c>
    </row>
    <row r="25" customFormat="false" ht="15" hidden="false" customHeight="false" outlineLevel="0" collapsed="false">
      <c r="A25" s="4" t="s">
        <v>367</v>
      </c>
      <c r="B25" s="4" t="s">
        <v>202</v>
      </c>
      <c r="C25" s="4" t="s">
        <v>322</v>
      </c>
      <c r="D25" s="4" t="n">
        <v>248276.35</v>
      </c>
      <c r="E25" s="4" t="n">
        <v>0</v>
      </c>
      <c r="F25" s="4" t="n">
        <v>248276.35</v>
      </c>
      <c r="G25" s="4" t="n">
        <v>194651.5</v>
      </c>
      <c r="H25" s="4" t="n">
        <v>53624.85</v>
      </c>
      <c r="I25" s="4" t="n">
        <v>0.216</v>
      </c>
      <c r="J25" s="4" t="n">
        <v>1.051</v>
      </c>
      <c r="K25" s="4" t="n">
        <v>57</v>
      </c>
      <c r="L25" s="4" t="n">
        <v>120</v>
      </c>
      <c r="M25" s="4" t="n">
        <v>4</v>
      </c>
      <c r="N25" s="4" t="n">
        <v>0</v>
      </c>
    </row>
    <row r="26" customFormat="false" ht="15" hidden="false" customHeight="false" outlineLevel="0" collapsed="false">
      <c r="A26" s="4" t="s">
        <v>368</v>
      </c>
      <c r="B26" s="4" t="s">
        <v>218</v>
      </c>
      <c r="C26" s="4" t="s">
        <v>290</v>
      </c>
      <c r="D26" s="4" t="n">
        <v>23747.35</v>
      </c>
      <c r="E26" s="4" t="n">
        <v>0.0191</v>
      </c>
      <c r="F26" s="4" t="n">
        <v>23294.23</v>
      </c>
      <c r="G26" s="4" t="n">
        <v>17137.5</v>
      </c>
      <c r="H26" s="4" t="n">
        <v>6156.73</v>
      </c>
      <c r="I26" s="4" t="n">
        <v>0.2643</v>
      </c>
      <c r="J26" s="4" t="n">
        <v>1.084</v>
      </c>
      <c r="K26" s="4" t="n">
        <v>32</v>
      </c>
      <c r="L26" s="4" t="n">
        <v>30</v>
      </c>
      <c r="M26" s="4" t="n">
        <v>9</v>
      </c>
      <c r="N26" s="4" t="n">
        <v>1</v>
      </c>
    </row>
    <row r="27" customFormat="false" ht="15" hidden="false" customHeight="false" outlineLevel="0" collapsed="false">
      <c r="A27" s="4" t="s">
        <v>369</v>
      </c>
      <c r="B27" s="4" t="s">
        <v>86</v>
      </c>
      <c r="C27" s="4" t="s">
        <v>265</v>
      </c>
      <c r="D27" s="4" t="n">
        <v>191665.7</v>
      </c>
      <c r="E27" s="4" t="n">
        <v>0.054</v>
      </c>
      <c r="F27" s="4" t="n">
        <v>181320.83</v>
      </c>
      <c r="G27" s="4" t="n">
        <v>135752.33</v>
      </c>
      <c r="H27" s="4" t="n">
        <v>45568.5</v>
      </c>
      <c r="I27" s="4" t="n">
        <v>0.2513</v>
      </c>
      <c r="J27" s="4" t="n">
        <v>0.958</v>
      </c>
      <c r="K27" s="4" t="n">
        <v>61</v>
      </c>
      <c r="L27" s="4" t="n">
        <v>60</v>
      </c>
      <c r="M27" s="4" t="n">
        <v>4</v>
      </c>
      <c r="N27" s="4" t="n">
        <v>0</v>
      </c>
    </row>
    <row r="28" customFormat="false" ht="15" hidden="false" customHeight="false" outlineLevel="0" collapsed="false">
      <c r="A28" s="4" t="s">
        <v>370</v>
      </c>
      <c r="B28" s="4" t="s">
        <v>140</v>
      </c>
      <c r="C28" s="4" t="s">
        <v>302</v>
      </c>
      <c r="D28" s="4" t="n">
        <v>85640.4</v>
      </c>
      <c r="E28" s="4" t="n">
        <v>0.0287</v>
      </c>
      <c r="F28" s="4" t="n">
        <v>83184.71</v>
      </c>
      <c r="G28" s="4" t="n">
        <v>67463.55</v>
      </c>
      <c r="H28" s="4" t="n">
        <v>15721.16</v>
      </c>
      <c r="I28" s="4" t="n">
        <v>0.189</v>
      </c>
      <c r="J28" s="4" t="n">
        <v>1.073</v>
      </c>
      <c r="K28" s="4" t="n">
        <v>22</v>
      </c>
      <c r="L28" s="4" t="n">
        <v>30</v>
      </c>
      <c r="M28" s="4" t="n">
        <v>0</v>
      </c>
      <c r="N28" s="4" t="n">
        <v>1</v>
      </c>
    </row>
    <row r="29" customFormat="false" ht="15" hidden="false" customHeight="false" outlineLevel="0" collapsed="false">
      <c r="A29" s="4" t="s">
        <v>371</v>
      </c>
      <c r="B29" s="4" t="s">
        <v>196</v>
      </c>
      <c r="C29" s="4" t="s">
        <v>296</v>
      </c>
      <c r="D29" s="4" t="n">
        <v>1031419.21</v>
      </c>
      <c r="E29" s="4" t="n">
        <v>0.1554</v>
      </c>
      <c r="F29" s="4" t="n">
        <v>871167.93</v>
      </c>
      <c r="G29" s="4" t="n">
        <v>633237.02</v>
      </c>
      <c r="H29" s="4" t="n">
        <v>237930.91</v>
      </c>
      <c r="I29" s="4" t="n">
        <v>0.2731</v>
      </c>
      <c r="J29" s="4" t="n">
        <v>1.041</v>
      </c>
      <c r="K29" s="4" t="n">
        <v>33</v>
      </c>
      <c r="L29" s="4" t="n">
        <v>60</v>
      </c>
      <c r="M29" s="4" t="n">
        <v>0</v>
      </c>
      <c r="N29" s="4" t="n">
        <v>1</v>
      </c>
    </row>
    <row r="30" customFormat="false" ht="15" hidden="false" customHeight="false" outlineLevel="0" collapsed="false">
      <c r="A30" s="4" t="s">
        <v>372</v>
      </c>
      <c r="B30" s="4" t="s">
        <v>230</v>
      </c>
      <c r="C30" s="4" t="s">
        <v>316</v>
      </c>
      <c r="D30" s="4" t="n">
        <v>716900.2</v>
      </c>
      <c r="E30" s="4" t="n">
        <v>0.1486</v>
      </c>
      <c r="F30" s="4" t="n">
        <v>610338.15</v>
      </c>
      <c r="G30" s="4" t="n">
        <v>456455.56</v>
      </c>
      <c r="H30" s="4" t="n">
        <v>153882.59</v>
      </c>
      <c r="I30" s="4" t="n">
        <v>0.2521</v>
      </c>
      <c r="J30" s="4" t="n">
        <v>0.938</v>
      </c>
      <c r="K30" s="4" t="n">
        <v>47</v>
      </c>
      <c r="L30" s="4" t="n">
        <v>30</v>
      </c>
      <c r="M30" s="4" t="n">
        <v>4</v>
      </c>
      <c r="N30" s="4" t="n">
        <v>1</v>
      </c>
    </row>
    <row r="31" customFormat="false" ht="15" hidden="false" customHeight="false" outlineLevel="0" collapsed="false">
      <c r="A31" s="4" t="s">
        <v>373</v>
      </c>
      <c r="B31" s="4" t="s">
        <v>114</v>
      </c>
      <c r="C31" s="4" t="s">
        <v>292</v>
      </c>
      <c r="D31" s="4" t="n">
        <v>300954.54</v>
      </c>
      <c r="E31" s="4" t="n">
        <v>0.1775</v>
      </c>
      <c r="F31" s="4" t="n">
        <v>247535.95</v>
      </c>
      <c r="G31" s="4" t="n">
        <v>222365.04</v>
      </c>
      <c r="H31" s="4" t="n">
        <v>25170.91</v>
      </c>
      <c r="I31" s="4" t="n">
        <v>0.1017</v>
      </c>
      <c r="J31" s="4" t="n">
        <v>1.181</v>
      </c>
      <c r="K31" s="4" t="n">
        <v>39</v>
      </c>
      <c r="L31" s="4" t="n">
        <v>30</v>
      </c>
      <c r="M31" s="4" t="n">
        <v>0</v>
      </c>
      <c r="N31" s="4" t="n">
        <v>0</v>
      </c>
    </row>
    <row r="32" customFormat="false" ht="15" hidden="false" customHeight="false" outlineLevel="0" collapsed="false">
      <c r="A32" s="4" t="s">
        <v>374</v>
      </c>
      <c r="B32" s="4" t="s">
        <v>164</v>
      </c>
      <c r="C32" s="4" t="s">
        <v>312</v>
      </c>
      <c r="D32" s="4" t="n">
        <v>626444.32</v>
      </c>
      <c r="E32" s="4" t="n">
        <v>0.0214</v>
      </c>
      <c r="F32" s="4" t="n">
        <v>613034.88</v>
      </c>
      <c r="G32" s="4" t="n">
        <v>413537.12</v>
      </c>
      <c r="H32" s="4" t="n">
        <v>199497.76</v>
      </c>
      <c r="I32" s="4" t="n">
        <v>0.3254</v>
      </c>
      <c r="J32" s="4" t="n">
        <v>0.988</v>
      </c>
      <c r="K32" s="4" t="n">
        <v>25</v>
      </c>
      <c r="L32" s="4" t="n">
        <v>30</v>
      </c>
      <c r="M32" s="4" t="n">
        <v>0</v>
      </c>
      <c r="N32" s="4" t="n">
        <v>0</v>
      </c>
    </row>
    <row r="33" customFormat="false" ht="15" hidden="false" customHeight="false" outlineLevel="0" collapsed="false">
      <c r="A33" s="4" t="s">
        <v>375</v>
      </c>
      <c r="B33" s="4" t="s">
        <v>67</v>
      </c>
      <c r="C33" s="4" t="s">
        <v>318</v>
      </c>
      <c r="D33" s="4" t="n">
        <v>1358034.76</v>
      </c>
      <c r="E33" s="4" t="n">
        <v>0.0855</v>
      </c>
      <c r="F33" s="4" t="n">
        <v>1241989.94</v>
      </c>
      <c r="G33" s="4" t="n">
        <v>1074640.64</v>
      </c>
      <c r="H33" s="4" t="n">
        <v>167349.3</v>
      </c>
      <c r="I33" s="4" t="n">
        <v>0.1347</v>
      </c>
      <c r="J33" s="4" t="n">
        <v>0.964</v>
      </c>
      <c r="K33" s="4" t="n">
        <v>61</v>
      </c>
      <c r="L33" s="4" t="n">
        <v>45</v>
      </c>
      <c r="M33" s="4" t="n">
        <v>14</v>
      </c>
      <c r="N33" s="4" t="n">
        <v>0</v>
      </c>
    </row>
    <row r="34" customFormat="false" ht="15" hidden="false" customHeight="false" outlineLevel="0" collapsed="false">
      <c r="A34" s="4" t="s">
        <v>376</v>
      </c>
      <c r="B34" s="4" t="s">
        <v>198</v>
      </c>
      <c r="C34" s="4" t="s">
        <v>326</v>
      </c>
      <c r="D34" s="4" t="n">
        <v>424311.6</v>
      </c>
      <c r="E34" s="4" t="n">
        <v>0.0935</v>
      </c>
      <c r="F34" s="4" t="n">
        <v>384624.32</v>
      </c>
      <c r="G34" s="4" t="n">
        <v>273627.4</v>
      </c>
      <c r="H34" s="4" t="n">
        <v>110996.92</v>
      </c>
      <c r="I34" s="4" t="n">
        <v>0.2886</v>
      </c>
      <c r="J34" s="4" t="n">
        <v>0.91</v>
      </c>
      <c r="K34" s="4" t="n">
        <v>89</v>
      </c>
      <c r="L34" s="4" t="n">
        <v>30</v>
      </c>
      <c r="M34" s="4" t="n">
        <v>6</v>
      </c>
      <c r="N34" s="4" t="n">
        <v>1</v>
      </c>
    </row>
    <row r="35" customFormat="false" ht="15" hidden="false" customHeight="false" outlineLevel="0" collapsed="false">
      <c r="A35" s="4" t="s">
        <v>377</v>
      </c>
      <c r="B35" s="4" t="s">
        <v>152</v>
      </c>
      <c r="C35" s="4" t="s">
        <v>302</v>
      </c>
      <c r="D35" s="4" t="n">
        <v>85640.4</v>
      </c>
      <c r="E35" s="4" t="n">
        <v>0.1249</v>
      </c>
      <c r="F35" s="4" t="n">
        <v>74944.94</v>
      </c>
      <c r="G35" s="4" t="n">
        <v>67463.55</v>
      </c>
      <c r="H35" s="4" t="n">
        <v>7481.39</v>
      </c>
      <c r="I35" s="4" t="n">
        <v>0.0998</v>
      </c>
      <c r="J35" s="4" t="n">
        <v>1.097</v>
      </c>
      <c r="K35" s="4" t="n">
        <v>82</v>
      </c>
      <c r="L35" s="4" t="n">
        <v>45</v>
      </c>
      <c r="M35" s="4" t="n">
        <v>8</v>
      </c>
      <c r="N35" s="4" t="n">
        <v>1</v>
      </c>
    </row>
    <row r="36" customFormat="false" ht="15" hidden="false" customHeight="false" outlineLevel="0" collapsed="false">
      <c r="A36" s="4" t="s">
        <v>378</v>
      </c>
      <c r="B36" s="4" t="s">
        <v>82</v>
      </c>
      <c r="C36" s="4" t="s">
        <v>271</v>
      </c>
      <c r="D36" s="4" t="n">
        <v>2061492.09</v>
      </c>
      <c r="E36" s="4" t="n">
        <v>0.0817</v>
      </c>
      <c r="F36" s="4" t="n">
        <v>1893084.43</v>
      </c>
      <c r="G36" s="4" t="n">
        <v>1588508.28</v>
      </c>
      <c r="H36" s="4" t="n">
        <v>304576.15</v>
      </c>
      <c r="I36" s="4" t="n">
        <v>0.1609</v>
      </c>
      <c r="J36" s="4" t="n">
        <v>0.976</v>
      </c>
      <c r="K36" s="4" t="n">
        <v>22</v>
      </c>
      <c r="L36" s="4" t="n">
        <v>30</v>
      </c>
      <c r="M36" s="4" t="n">
        <v>0</v>
      </c>
      <c r="N36" s="4" t="n">
        <v>1</v>
      </c>
    </row>
    <row r="37" customFormat="false" ht="15" hidden="false" customHeight="false" outlineLevel="0" collapsed="false">
      <c r="A37" s="4" t="s">
        <v>379</v>
      </c>
      <c r="B37" s="4" t="s">
        <v>36</v>
      </c>
      <c r="C37" s="4" t="s">
        <v>274</v>
      </c>
      <c r="D37" s="4" t="n">
        <v>1774866.6</v>
      </c>
      <c r="E37" s="4" t="n">
        <v>0.0728</v>
      </c>
      <c r="F37" s="4" t="n">
        <v>1645568.65</v>
      </c>
      <c r="G37" s="4" t="n">
        <v>1396444.3</v>
      </c>
      <c r="H37" s="4" t="n">
        <v>249124.35</v>
      </c>
      <c r="I37" s="4" t="n">
        <v>0.1514</v>
      </c>
      <c r="J37" s="4" t="n">
        <v>0.997</v>
      </c>
      <c r="K37" s="4" t="n">
        <v>68</v>
      </c>
      <c r="L37" s="4" t="n">
        <v>60</v>
      </c>
      <c r="M37" s="4" t="n">
        <v>3</v>
      </c>
      <c r="N37" s="4" t="n">
        <v>0</v>
      </c>
    </row>
    <row r="38" customFormat="false" ht="15" hidden="false" customHeight="false" outlineLevel="0" collapsed="false">
      <c r="A38" s="4" t="s">
        <v>380</v>
      </c>
      <c r="B38" s="4" t="s">
        <v>84</v>
      </c>
      <c r="C38" s="4" t="s">
        <v>281</v>
      </c>
      <c r="D38" s="4" t="n">
        <v>39756.66</v>
      </c>
      <c r="E38" s="4" t="n">
        <v>0.0995</v>
      </c>
      <c r="F38" s="4" t="n">
        <v>35801.99</v>
      </c>
      <c r="G38" s="4" t="n">
        <v>31655.24</v>
      </c>
      <c r="H38" s="4" t="n">
        <v>4146.75</v>
      </c>
      <c r="I38" s="4" t="n">
        <v>0.1158</v>
      </c>
      <c r="J38" s="4" t="n">
        <v>1.003</v>
      </c>
      <c r="K38" s="4" t="n">
        <v>79</v>
      </c>
      <c r="L38" s="4" t="n">
        <v>120</v>
      </c>
      <c r="M38" s="4" t="n">
        <v>0</v>
      </c>
      <c r="N38" s="4" t="n">
        <v>1</v>
      </c>
    </row>
    <row r="39" customFormat="false" ht="15" hidden="false" customHeight="false" outlineLevel="0" collapsed="false">
      <c r="A39" s="4" t="s">
        <v>381</v>
      </c>
      <c r="B39" s="4" t="s">
        <v>234</v>
      </c>
      <c r="C39" s="4" t="s">
        <v>292</v>
      </c>
      <c r="D39" s="4" t="n">
        <v>200636.36</v>
      </c>
      <c r="E39" s="4" t="n">
        <v>0.0885</v>
      </c>
      <c r="F39" s="4" t="n">
        <v>182878.27</v>
      </c>
      <c r="G39" s="4" t="n">
        <v>148243.36</v>
      </c>
      <c r="H39" s="4" t="n">
        <v>34634.91</v>
      </c>
      <c r="I39" s="4" t="n">
        <v>0.1894</v>
      </c>
      <c r="J39" s="4" t="n">
        <v>0.963</v>
      </c>
      <c r="K39" s="4" t="n">
        <v>73</v>
      </c>
      <c r="L39" s="4" t="n">
        <v>120</v>
      </c>
      <c r="M39" s="4" t="n">
        <v>8</v>
      </c>
      <c r="N39" s="4" t="n">
        <v>0</v>
      </c>
    </row>
    <row r="40" customFormat="false" ht="15" hidden="false" customHeight="false" outlineLevel="0" collapsed="false">
      <c r="A40" s="4" t="s">
        <v>382</v>
      </c>
      <c r="B40" s="4" t="s">
        <v>198</v>
      </c>
      <c r="C40" s="4" t="s">
        <v>322</v>
      </c>
      <c r="D40" s="4" t="n">
        <v>148965.81</v>
      </c>
      <c r="E40" s="4" t="n">
        <v>0.1441</v>
      </c>
      <c r="F40" s="4" t="n">
        <v>127501.86</v>
      </c>
      <c r="G40" s="4" t="n">
        <v>116790.9</v>
      </c>
      <c r="H40" s="4" t="n">
        <v>10710.96</v>
      </c>
      <c r="I40" s="4" t="n">
        <v>0.084</v>
      </c>
      <c r="J40" s="4" t="n">
        <v>1.052</v>
      </c>
      <c r="K40" s="4" t="n">
        <v>42</v>
      </c>
      <c r="L40" s="4" t="n">
        <v>30</v>
      </c>
      <c r="M40" s="4" t="n">
        <v>11</v>
      </c>
      <c r="N40" s="4" t="n">
        <v>0</v>
      </c>
    </row>
    <row r="41" customFormat="false" ht="15" hidden="false" customHeight="false" outlineLevel="0" collapsed="false">
      <c r="A41" s="4" t="s">
        <v>383</v>
      </c>
      <c r="B41" s="4" t="s">
        <v>240</v>
      </c>
      <c r="C41" s="4" t="s">
        <v>298</v>
      </c>
      <c r="D41" s="4" t="n">
        <v>4458614.8</v>
      </c>
      <c r="E41" s="4" t="n">
        <v>0.0627</v>
      </c>
      <c r="F41" s="4" t="n">
        <v>4179160.99</v>
      </c>
      <c r="G41" s="4" t="n">
        <v>3366371.75</v>
      </c>
      <c r="H41" s="4" t="n">
        <v>812789.24</v>
      </c>
      <c r="I41" s="4" t="n">
        <v>0.1945</v>
      </c>
      <c r="J41" s="4" t="n">
        <v>1.06</v>
      </c>
      <c r="K41" s="4" t="n">
        <v>61</v>
      </c>
      <c r="L41" s="4" t="n">
        <v>30</v>
      </c>
      <c r="M41" s="4" t="n">
        <v>3</v>
      </c>
      <c r="N41" s="4" t="n">
        <v>0</v>
      </c>
    </row>
    <row r="42" customFormat="false" ht="15" hidden="false" customHeight="false" outlineLevel="0" collapsed="false">
      <c r="A42" s="4" t="s">
        <v>384</v>
      </c>
      <c r="B42" s="4" t="s">
        <v>88</v>
      </c>
      <c r="C42" s="4" t="s">
        <v>302</v>
      </c>
      <c r="D42" s="4" t="n">
        <v>51384.24</v>
      </c>
      <c r="E42" s="4" t="n">
        <v>0.0746</v>
      </c>
      <c r="F42" s="4" t="n">
        <v>47552.79</v>
      </c>
      <c r="G42" s="4" t="n">
        <v>40478.13</v>
      </c>
      <c r="H42" s="4" t="n">
        <v>7074.66</v>
      </c>
      <c r="I42" s="4" t="n">
        <v>0.1488</v>
      </c>
      <c r="J42" s="4" t="n">
        <v>1.118</v>
      </c>
      <c r="K42" s="4" t="n">
        <v>41</v>
      </c>
      <c r="L42" s="4" t="n">
        <v>30</v>
      </c>
      <c r="M42" s="4" t="n">
        <v>5</v>
      </c>
      <c r="N42" s="4" t="n">
        <v>1</v>
      </c>
    </row>
    <row r="43" customFormat="false" ht="15" hidden="false" customHeight="false" outlineLevel="0" collapsed="false">
      <c r="A43" s="4" t="s">
        <v>385</v>
      </c>
      <c r="B43" s="4" t="s">
        <v>180</v>
      </c>
      <c r="C43" s="4" t="s">
        <v>302</v>
      </c>
      <c r="D43" s="4" t="n">
        <v>85640.4</v>
      </c>
      <c r="E43" s="4" t="n">
        <v>0.019</v>
      </c>
      <c r="F43" s="4" t="n">
        <v>84014.5</v>
      </c>
      <c r="G43" s="4" t="n">
        <v>67463.55</v>
      </c>
      <c r="H43" s="4" t="n">
        <v>16550.95</v>
      </c>
      <c r="I43" s="4" t="n">
        <v>0.197</v>
      </c>
      <c r="J43" s="4" t="n">
        <v>0.837</v>
      </c>
      <c r="K43" s="4" t="n">
        <v>60</v>
      </c>
      <c r="L43" s="4" t="n">
        <v>60</v>
      </c>
      <c r="M43" s="4" t="n">
        <v>0</v>
      </c>
      <c r="N43" s="4" t="n">
        <v>1</v>
      </c>
    </row>
    <row r="44" customFormat="false" ht="15" hidden="false" customHeight="false" outlineLevel="0" collapsed="false">
      <c r="A44" s="4" t="s">
        <v>386</v>
      </c>
      <c r="B44" s="4" t="s">
        <v>76</v>
      </c>
      <c r="C44" s="4" t="s">
        <v>279</v>
      </c>
      <c r="D44" s="4" t="n">
        <v>108127.96</v>
      </c>
      <c r="E44" s="4" t="n">
        <v>0.0755</v>
      </c>
      <c r="F44" s="4" t="n">
        <v>99960.72</v>
      </c>
      <c r="G44" s="4" t="n">
        <v>91012.58</v>
      </c>
      <c r="H44" s="4" t="n">
        <v>8948.14</v>
      </c>
      <c r="I44" s="4" t="n">
        <v>0.0895</v>
      </c>
      <c r="J44" s="4" t="n">
        <v>1.054</v>
      </c>
      <c r="K44" s="4" t="n">
        <v>69</v>
      </c>
      <c r="L44" s="4" t="n">
        <v>60</v>
      </c>
      <c r="M44" s="4" t="n">
        <v>0</v>
      </c>
      <c r="N44" s="4" t="n">
        <v>0</v>
      </c>
    </row>
    <row r="45" customFormat="false" ht="15" hidden="false" customHeight="false" outlineLevel="0" collapsed="false">
      <c r="A45" s="4" t="s">
        <v>387</v>
      </c>
      <c r="B45" s="4" t="s">
        <v>184</v>
      </c>
      <c r="C45" s="4" t="s">
        <v>274</v>
      </c>
      <c r="D45" s="4" t="n">
        <v>354973.32</v>
      </c>
      <c r="E45" s="4" t="n">
        <v>0.0132</v>
      </c>
      <c r="F45" s="4" t="n">
        <v>350304.75</v>
      </c>
      <c r="G45" s="4" t="n">
        <v>279288.86</v>
      </c>
      <c r="H45" s="4" t="n">
        <v>71015.89</v>
      </c>
      <c r="I45" s="4" t="n">
        <v>0.2027</v>
      </c>
      <c r="J45" s="4" t="n">
        <v>1.052</v>
      </c>
      <c r="K45" s="4" t="n">
        <v>38</v>
      </c>
      <c r="L45" s="4" t="n">
        <v>30</v>
      </c>
      <c r="M45" s="4" t="n">
        <v>9</v>
      </c>
      <c r="N45" s="4" t="n">
        <v>0</v>
      </c>
    </row>
    <row r="46" customFormat="false" ht="15" hidden="false" customHeight="false" outlineLevel="0" collapsed="false">
      <c r="A46" s="4" t="s">
        <v>388</v>
      </c>
      <c r="B46" s="4" t="s">
        <v>78</v>
      </c>
      <c r="C46" s="4" t="s">
        <v>265</v>
      </c>
      <c r="D46" s="4" t="n">
        <v>574997.1</v>
      </c>
      <c r="E46" s="4" t="n">
        <v>0.1289</v>
      </c>
      <c r="F46" s="4" t="n">
        <v>500864.91</v>
      </c>
      <c r="G46" s="4" t="n">
        <v>407256.99</v>
      </c>
      <c r="H46" s="4" t="n">
        <v>93607.92</v>
      </c>
      <c r="I46" s="4" t="n">
        <v>0.1869</v>
      </c>
      <c r="J46" s="4" t="n">
        <v>0.97</v>
      </c>
      <c r="K46" s="4" t="n">
        <v>64</v>
      </c>
      <c r="L46" s="4" t="n">
        <v>30</v>
      </c>
      <c r="M46" s="4" t="n">
        <v>3</v>
      </c>
      <c r="N46" s="4" t="n">
        <v>0</v>
      </c>
    </row>
    <row r="47" customFormat="false" ht="15" hidden="false" customHeight="false" outlineLevel="0" collapsed="false">
      <c r="A47" s="4" t="s">
        <v>389</v>
      </c>
      <c r="B47" s="4" t="s">
        <v>88</v>
      </c>
      <c r="C47" s="4" t="s">
        <v>279</v>
      </c>
      <c r="D47" s="4" t="n">
        <v>162191.94</v>
      </c>
      <c r="E47" s="4" t="n">
        <v>0.0343</v>
      </c>
      <c r="F47" s="4" t="n">
        <v>156632.59</v>
      </c>
      <c r="G47" s="4" t="n">
        <v>136518.87</v>
      </c>
      <c r="H47" s="4" t="n">
        <v>20113.72</v>
      </c>
      <c r="I47" s="4" t="n">
        <v>0.1284</v>
      </c>
      <c r="J47" s="4" t="n">
        <v>0.854</v>
      </c>
      <c r="K47" s="4" t="n">
        <v>74</v>
      </c>
      <c r="L47" s="4" t="n">
        <v>45</v>
      </c>
      <c r="M47" s="4" t="n">
        <v>11</v>
      </c>
      <c r="N47" s="4" t="n">
        <v>1</v>
      </c>
    </row>
    <row r="48" customFormat="false" ht="15" hidden="false" customHeight="false" outlineLevel="0" collapsed="false">
      <c r="A48" s="4" t="s">
        <v>390</v>
      </c>
      <c r="B48" s="4" t="s">
        <v>200</v>
      </c>
      <c r="C48" s="4" t="s">
        <v>268</v>
      </c>
      <c r="D48" s="4" t="n">
        <v>415915.03</v>
      </c>
      <c r="E48" s="4" t="n">
        <v>0.0602</v>
      </c>
      <c r="F48" s="4" t="n">
        <v>390893.79</v>
      </c>
      <c r="G48" s="4" t="n">
        <v>331017.33</v>
      </c>
      <c r="H48" s="4" t="n">
        <v>59876.46</v>
      </c>
      <c r="I48" s="4" t="n">
        <v>0.1532</v>
      </c>
      <c r="J48" s="4" t="n">
        <v>1.008</v>
      </c>
      <c r="K48" s="4" t="n">
        <v>19</v>
      </c>
      <c r="L48" s="4" t="n">
        <v>60</v>
      </c>
      <c r="M48" s="4" t="n">
        <v>0</v>
      </c>
      <c r="N48" s="4" t="n">
        <v>0</v>
      </c>
    </row>
    <row r="49" customFormat="false" ht="15" hidden="false" customHeight="false" outlineLevel="0" collapsed="false">
      <c r="A49" s="4" t="s">
        <v>391</v>
      </c>
      <c r="B49" s="4" t="s">
        <v>124</v>
      </c>
      <c r="C49" s="4" t="s">
        <v>302</v>
      </c>
      <c r="D49" s="4" t="n">
        <v>85640.4</v>
      </c>
      <c r="E49" s="4" t="n">
        <v>0.1041</v>
      </c>
      <c r="F49" s="4" t="n">
        <v>76721.56</v>
      </c>
      <c r="G49" s="4" t="n">
        <v>67463.55</v>
      </c>
      <c r="H49" s="4" t="n">
        <v>9258.01</v>
      </c>
      <c r="I49" s="4" t="n">
        <v>0.1207</v>
      </c>
      <c r="J49" s="4" t="n">
        <v>1.082</v>
      </c>
      <c r="K49" s="4" t="n">
        <v>44</v>
      </c>
      <c r="L49" s="4" t="n">
        <v>60</v>
      </c>
      <c r="M49" s="4" t="n">
        <v>0</v>
      </c>
      <c r="N49" s="4" t="n">
        <v>1</v>
      </c>
    </row>
    <row r="50" customFormat="false" ht="15" hidden="false" customHeight="false" outlineLevel="0" collapsed="false">
      <c r="A50" s="4" t="s">
        <v>392</v>
      </c>
      <c r="B50" s="4" t="s">
        <v>226</v>
      </c>
      <c r="C50" s="4" t="s">
        <v>281</v>
      </c>
      <c r="D50" s="4" t="n">
        <v>59634.99</v>
      </c>
      <c r="E50" s="4" t="n">
        <v>0.1207</v>
      </c>
      <c r="F50" s="4" t="n">
        <v>52439.97</v>
      </c>
      <c r="G50" s="4" t="n">
        <v>47482.86</v>
      </c>
      <c r="H50" s="4" t="n">
        <v>4957.11</v>
      </c>
      <c r="I50" s="4" t="n">
        <v>0.0945</v>
      </c>
      <c r="J50" s="4" t="n">
        <v>0.964</v>
      </c>
      <c r="K50" s="4" t="n">
        <v>38</v>
      </c>
      <c r="L50" s="4" t="n">
        <v>120</v>
      </c>
      <c r="M50" s="4" t="n">
        <v>11</v>
      </c>
      <c r="N50" s="4" t="n">
        <v>0</v>
      </c>
    </row>
    <row r="51" customFormat="false" ht="15" hidden="false" customHeight="false" outlineLevel="0" collapsed="false">
      <c r="A51" s="4" t="s">
        <v>393</v>
      </c>
      <c r="B51" s="4" t="s">
        <v>144</v>
      </c>
      <c r="C51" s="4" t="s">
        <v>302</v>
      </c>
      <c r="D51" s="4" t="n">
        <v>17128.08</v>
      </c>
      <c r="E51" s="4" t="n">
        <v>0.1185</v>
      </c>
      <c r="F51" s="4" t="n">
        <v>15099.17</v>
      </c>
      <c r="G51" s="4" t="n">
        <v>13492.71</v>
      </c>
      <c r="H51" s="4" t="n">
        <v>1606.46</v>
      </c>
      <c r="I51" s="4" t="n">
        <v>0.1064</v>
      </c>
      <c r="J51" s="4" t="n">
        <v>0.907</v>
      </c>
      <c r="K51" s="4" t="n">
        <v>60</v>
      </c>
      <c r="L51" s="4" t="n">
        <v>90</v>
      </c>
      <c r="M51" s="4" t="n">
        <v>0</v>
      </c>
      <c r="N51" s="4" t="n">
        <v>0</v>
      </c>
    </row>
    <row r="52" customFormat="false" ht="15" hidden="false" customHeight="false" outlineLevel="0" collapsed="false">
      <c r="A52" s="4" t="s">
        <v>394</v>
      </c>
      <c r="B52" s="4" t="s">
        <v>100</v>
      </c>
      <c r="C52" s="4" t="s">
        <v>330</v>
      </c>
      <c r="D52" s="4" t="n">
        <v>10752.24</v>
      </c>
      <c r="E52" s="4" t="n">
        <v>0.1196</v>
      </c>
      <c r="F52" s="4" t="n">
        <v>9466.35</v>
      </c>
      <c r="G52" s="4" t="n">
        <v>7842.41</v>
      </c>
      <c r="H52" s="4" t="n">
        <v>1623.94</v>
      </c>
      <c r="I52" s="4" t="n">
        <v>0.1715</v>
      </c>
      <c r="J52" s="4" t="n">
        <v>0.767</v>
      </c>
      <c r="K52" s="4" t="n">
        <v>83</v>
      </c>
      <c r="L52" s="4" t="n">
        <v>60</v>
      </c>
      <c r="M52" s="4" t="n">
        <v>3</v>
      </c>
      <c r="N52" s="4" t="n">
        <v>1</v>
      </c>
    </row>
    <row r="53" customFormat="false" ht="15" hidden="false" customHeight="false" outlineLevel="0" collapsed="false">
      <c r="A53" s="4" t="s">
        <v>395</v>
      </c>
      <c r="B53" s="4" t="s">
        <v>164</v>
      </c>
      <c r="C53" s="4" t="s">
        <v>302</v>
      </c>
      <c r="D53" s="4" t="n">
        <v>17128.08</v>
      </c>
      <c r="E53" s="4" t="n">
        <v>0.0007</v>
      </c>
      <c r="F53" s="4" t="n">
        <v>17116.25</v>
      </c>
      <c r="G53" s="4" t="n">
        <v>13492.71</v>
      </c>
      <c r="H53" s="4" t="n">
        <v>3623.54</v>
      </c>
      <c r="I53" s="4" t="n">
        <v>0.2117</v>
      </c>
      <c r="J53" s="4" t="n">
        <v>0.913</v>
      </c>
      <c r="K53" s="4" t="n">
        <v>70</v>
      </c>
      <c r="L53" s="4" t="n">
        <v>90</v>
      </c>
      <c r="M53" s="4" t="n">
        <v>5</v>
      </c>
      <c r="N53" s="4" t="n">
        <v>1</v>
      </c>
    </row>
    <row r="54" customFormat="false" ht="15" hidden="false" customHeight="false" outlineLevel="0" collapsed="false">
      <c r="A54" s="4" t="s">
        <v>396</v>
      </c>
      <c r="B54" s="4" t="s">
        <v>162</v>
      </c>
      <c r="C54" s="4" t="s">
        <v>290</v>
      </c>
      <c r="D54" s="4" t="n">
        <v>23747.35</v>
      </c>
      <c r="E54" s="4" t="n">
        <v>0.0411</v>
      </c>
      <c r="F54" s="4" t="n">
        <v>22770.41</v>
      </c>
      <c r="G54" s="4" t="n">
        <v>17137.5</v>
      </c>
      <c r="H54" s="4" t="n">
        <v>5632.91</v>
      </c>
      <c r="I54" s="4" t="n">
        <v>0.2474</v>
      </c>
      <c r="J54" s="4" t="n">
        <v>1.069</v>
      </c>
      <c r="K54" s="4" t="n">
        <v>74</v>
      </c>
      <c r="L54" s="4" t="n">
        <v>30</v>
      </c>
      <c r="M54" s="4" t="n">
        <v>0</v>
      </c>
      <c r="N54" s="4" t="n">
        <v>0</v>
      </c>
    </row>
    <row r="55" customFormat="false" ht="15" hidden="false" customHeight="false" outlineLevel="0" collapsed="false">
      <c r="A55" s="4" t="s">
        <v>397</v>
      </c>
      <c r="B55" s="4" t="s">
        <v>246</v>
      </c>
      <c r="C55" s="4" t="s">
        <v>302</v>
      </c>
      <c r="D55" s="4" t="n">
        <v>68512.32</v>
      </c>
      <c r="E55" s="4" t="n">
        <v>0.0185</v>
      </c>
      <c r="F55" s="4" t="n">
        <v>67245.18</v>
      </c>
      <c r="G55" s="4" t="n">
        <v>53970.84</v>
      </c>
      <c r="H55" s="4" t="n">
        <v>13274.34</v>
      </c>
      <c r="I55" s="4" t="n">
        <v>0.1974</v>
      </c>
      <c r="J55" s="4" t="n">
        <v>1.128</v>
      </c>
      <c r="K55" s="4" t="n">
        <v>59</v>
      </c>
      <c r="L55" s="4" t="n">
        <v>90</v>
      </c>
      <c r="M55" s="4" t="n">
        <v>0</v>
      </c>
      <c r="N55" s="4" t="n">
        <v>0</v>
      </c>
    </row>
    <row r="56" customFormat="false" ht="15" hidden="false" customHeight="false" outlineLevel="0" collapsed="false">
      <c r="A56" s="4" t="s">
        <v>398</v>
      </c>
      <c r="B56" s="4" t="s">
        <v>148</v>
      </c>
      <c r="C56" s="4" t="s">
        <v>326</v>
      </c>
      <c r="D56" s="4" t="n">
        <v>84862.32</v>
      </c>
      <c r="E56" s="4" t="n">
        <v>0</v>
      </c>
      <c r="F56" s="4" t="n">
        <v>84862.32</v>
      </c>
      <c r="G56" s="4" t="n">
        <v>54725.48</v>
      </c>
      <c r="H56" s="4" t="n">
        <v>30136.84</v>
      </c>
      <c r="I56" s="4" t="n">
        <v>0.3551</v>
      </c>
      <c r="J56" s="4" t="n">
        <v>0.826</v>
      </c>
      <c r="K56" s="4" t="n">
        <v>42</v>
      </c>
      <c r="L56" s="4" t="n">
        <v>30</v>
      </c>
      <c r="M56" s="4" t="n">
        <v>0</v>
      </c>
      <c r="N56" s="4" t="n">
        <v>1</v>
      </c>
    </row>
    <row r="57" customFormat="false" ht="15" hidden="false" customHeight="false" outlineLevel="0" collapsed="false">
      <c r="A57" s="4" t="s">
        <v>399</v>
      </c>
      <c r="B57" s="4" t="s">
        <v>104</v>
      </c>
      <c r="C57" s="4" t="s">
        <v>290</v>
      </c>
      <c r="D57" s="4" t="n">
        <v>4749.47</v>
      </c>
      <c r="E57" s="4" t="n">
        <v>0.201</v>
      </c>
      <c r="F57" s="4" t="n">
        <v>3794.6</v>
      </c>
      <c r="G57" s="4" t="n">
        <v>3427.5</v>
      </c>
      <c r="H57" s="4" t="n">
        <v>367.1</v>
      </c>
      <c r="I57" s="4" t="n">
        <v>0.0967</v>
      </c>
      <c r="J57" s="4" t="n">
        <v>1.005</v>
      </c>
      <c r="K57" s="4" t="n">
        <v>64</v>
      </c>
      <c r="L57" s="4" t="n">
        <v>30</v>
      </c>
      <c r="M57" s="4" t="n">
        <v>0</v>
      </c>
      <c r="N57" s="4" t="n">
        <v>0</v>
      </c>
    </row>
    <row r="58" customFormat="false" ht="15" hidden="false" customHeight="false" outlineLevel="0" collapsed="false">
      <c r="A58" s="4" t="s">
        <v>400</v>
      </c>
      <c r="B58" s="4" t="s">
        <v>116</v>
      </c>
      <c r="C58" s="4" t="s">
        <v>322</v>
      </c>
      <c r="D58" s="4" t="n">
        <v>49655.27</v>
      </c>
      <c r="E58" s="4" t="n">
        <v>0.0439</v>
      </c>
      <c r="F58" s="4" t="n">
        <v>47477.13</v>
      </c>
      <c r="G58" s="4" t="n">
        <v>38930.3</v>
      </c>
      <c r="H58" s="4" t="n">
        <v>8546.83</v>
      </c>
      <c r="I58" s="4" t="n">
        <v>0.18</v>
      </c>
      <c r="J58" s="4" t="n">
        <v>0.977</v>
      </c>
      <c r="K58" s="4" t="n">
        <v>48</v>
      </c>
      <c r="L58" s="4" t="n">
        <v>90</v>
      </c>
      <c r="M58" s="4" t="n">
        <v>1</v>
      </c>
      <c r="N58" s="4" t="n">
        <v>1</v>
      </c>
    </row>
    <row r="59" customFormat="false" ht="15" hidden="false" customHeight="false" outlineLevel="0" collapsed="false">
      <c r="A59" s="4" t="s">
        <v>401</v>
      </c>
      <c r="B59" s="4" t="s">
        <v>142</v>
      </c>
      <c r="C59" s="4" t="s">
        <v>287</v>
      </c>
      <c r="D59" s="4" t="n">
        <v>20599.16</v>
      </c>
      <c r="E59" s="4" t="n">
        <v>0.0178</v>
      </c>
      <c r="F59" s="4" t="n">
        <v>20232.89</v>
      </c>
      <c r="G59" s="4" t="n">
        <v>18282.84</v>
      </c>
      <c r="H59" s="4" t="n">
        <v>1950.05</v>
      </c>
      <c r="I59" s="4" t="n">
        <v>0.0964</v>
      </c>
      <c r="J59" s="4" t="n">
        <v>1.039</v>
      </c>
      <c r="K59" s="4" t="n">
        <v>54</v>
      </c>
      <c r="L59" s="4" t="n">
        <v>30</v>
      </c>
      <c r="M59" s="4" t="n">
        <v>0</v>
      </c>
      <c r="N59" s="4" t="n">
        <v>1</v>
      </c>
    </row>
    <row r="60" customFormat="false" ht="15" hidden="false" customHeight="false" outlineLevel="0" collapsed="false">
      <c r="A60" s="4" t="s">
        <v>402</v>
      </c>
      <c r="B60" s="4" t="s">
        <v>162</v>
      </c>
      <c r="C60" s="4" t="s">
        <v>302</v>
      </c>
      <c r="D60" s="4" t="n">
        <v>34256.16</v>
      </c>
      <c r="E60" s="4" t="n">
        <v>0.0972</v>
      </c>
      <c r="F60" s="4" t="n">
        <v>30925.28</v>
      </c>
      <c r="G60" s="4" t="n">
        <v>26985.42</v>
      </c>
      <c r="H60" s="4" t="n">
        <v>3939.86</v>
      </c>
      <c r="I60" s="4" t="n">
        <v>0.1274</v>
      </c>
      <c r="J60" s="4" t="n">
        <v>1.136</v>
      </c>
      <c r="K60" s="4" t="n">
        <v>33</v>
      </c>
      <c r="L60" s="4" t="n">
        <v>60</v>
      </c>
      <c r="M60" s="4" t="n">
        <v>0</v>
      </c>
      <c r="N60" s="4" t="n">
        <v>1</v>
      </c>
    </row>
    <row r="61" customFormat="false" ht="15" hidden="false" customHeight="false" outlineLevel="0" collapsed="false">
      <c r="A61" s="4" t="s">
        <v>403</v>
      </c>
      <c r="B61" s="4" t="s">
        <v>108</v>
      </c>
      <c r="C61" s="4" t="s">
        <v>298</v>
      </c>
      <c r="D61" s="4" t="n">
        <v>1783445.92</v>
      </c>
      <c r="E61" s="4" t="n">
        <v>0.0984</v>
      </c>
      <c r="F61" s="4" t="n">
        <v>1607895.23</v>
      </c>
      <c r="G61" s="4" t="n">
        <v>1346548.7</v>
      </c>
      <c r="H61" s="4" t="n">
        <v>261346.53</v>
      </c>
      <c r="I61" s="4" t="n">
        <v>0.1625</v>
      </c>
      <c r="J61" s="4" t="n">
        <v>1.014</v>
      </c>
      <c r="K61" s="4" t="n">
        <v>48</v>
      </c>
      <c r="L61" s="4" t="n">
        <v>45</v>
      </c>
      <c r="M61" s="4" t="n">
        <v>0</v>
      </c>
      <c r="N61" s="4" t="n">
        <v>0</v>
      </c>
    </row>
    <row r="62" customFormat="false" ht="15" hidden="false" customHeight="false" outlineLevel="0" collapsed="false">
      <c r="A62" s="4" t="s">
        <v>404</v>
      </c>
      <c r="B62" s="4" t="s">
        <v>82</v>
      </c>
      <c r="C62" s="4" t="s">
        <v>265</v>
      </c>
      <c r="D62" s="4" t="n">
        <v>766662.8</v>
      </c>
      <c r="E62" s="4" t="n">
        <v>0.0296</v>
      </c>
      <c r="F62" s="4" t="n">
        <v>743939.57</v>
      </c>
      <c r="G62" s="4" t="n">
        <v>543009.32</v>
      </c>
      <c r="H62" s="4" t="n">
        <v>200930.25</v>
      </c>
      <c r="I62" s="4" t="n">
        <v>0.2701</v>
      </c>
      <c r="J62" s="4" t="n">
        <v>0.935</v>
      </c>
      <c r="K62" s="4" t="n">
        <v>32</v>
      </c>
      <c r="L62" s="4" t="n">
        <v>90</v>
      </c>
      <c r="M62" s="4" t="n">
        <v>3</v>
      </c>
      <c r="N62" s="4" t="n">
        <v>1</v>
      </c>
    </row>
    <row r="63" customFormat="false" ht="15" hidden="false" customHeight="false" outlineLevel="0" collapsed="false">
      <c r="A63" s="4" t="s">
        <v>405</v>
      </c>
      <c r="B63" s="4" t="s">
        <v>156</v>
      </c>
      <c r="C63" s="4" t="s">
        <v>330</v>
      </c>
      <c r="D63" s="4" t="n">
        <v>43008.96</v>
      </c>
      <c r="E63" s="4" t="n">
        <v>0.0799</v>
      </c>
      <c r="F63" s="4" t="n">
        <v>39572.83</v>
      </c>
      <c r="G63" s="4" t="n">
        <v>31369.64</v>
      </c>
      <c r="H63" s="4" t="n">
        <v>8203.19</v>
      </c>
      <c r="I63" s="4" t="n">
        <v>0.2073</v>
      </c>
      <c r="J63" s="4" t="n">
        <v>1.031</v>
      </c>
      <c r="K63" s="4" t="n">
        <v>66</v>
      </c>
      <c r="L63" s="4" t="n">
        <v>60</v>
      </c>
      <c r="M63" s="4" t="n">
        <v>0</v>
      </c>
      <c r="N63" s="4" t="n">
        <v>0</v>
      </c>
    </row>
    <row r="64" customFormat="false" ht="15" hidden="false" customHeight="false" outlineLevel="0" collapsed="false">
      <c r="A64" s="4" t="s">
        <v>406</v>
      </c>
      <c r="B64" s="4" t="s">
        <v>200</v>
      </c>
      <c r="C64" s="4" t="s">
        <v>268</v>
      </c>
      <c r="D64" s="4" t="n">
        <v>831830.06</v>
      </c>
      <c r="E64" s="4" t="n">
        <v>0.1047</v>
      </c>
      <c r="F64" s="4" t="n">
        <v>744737.04</v>
      </c>
      <c r="G64" s="4" t="n">
        <v>662034.66</v>
      </c>
      <c r="H64" s="4" t="n">
        <v>82702.38</v>
      </c>
      <c r="I64" s="4" t="n">
        <v>0.111</v>
      </c>
      <c r="J64" s="4" t="n">
        <v>1.02</v>
      </c>
      <c r="K64" s="4" t="n">
        <v>31</v>
      </c>
      <c r="L64" s="4" t="n">
        <v>120</v>
      </c>
      <c r="M64" s="4" t="n">
        <v>5</v>
      </c>
      <c r="N64" s="4" t="n">
        <v>1</v>
      </c>
    </row>
    <row r="65" customFormat="false" ht="15" hidden="false" customHeight="false" outlineLevel="0" collapsed="false">
      <c r="A65" s="4" t="s">
        <v>407</v>
      </c>
      <c r="B65" s="4" t="s">
        <v>142</v>
      </c>
      <c r="C65" s="4" t="s">
        <v>274</v>
      </c>
      <c r="D65" s="4" t="n">
        <v>1774866.6</v>
      </c>
      <c r="E65" s="4" t="n">
        <v>0.0858</v>
      </c>
      <c r="F65" s="4" t="n">
        <v>1622611.84</v>
      </c>
      <c r="G65" s="4" t="n">
        <v>1396444.3</v>
      </c>
      <c r="H65" s="4" t="n">
        <v>226167.54</v>
      </c>
      <c r="I65" s="4" t="n">
        <v>0.1394</v>
      </c>
      <c r="J65" s="4" t="n">
        <v>0.899</v>
      </c>
      <c r="K65" s="4" t="n">
        <v>85</v>
      </c>
      <c r="L65" s="4" t="n">
        <v>45</v>
      </c>
      <c r="M65" s="4" t="n">
        <v>1</v>
      </c>
      <c r="N65" s="4" t="n">
        <v>0</v>
      </c>
    </row>
    <row r="66" customFormat="false" ht="15" hidden="false" customHeight="false" outlineLevel="0" collapsed="false">
      <c r="A66" s="4" t="s">
        <v>408</v>
      </c>
      <c r="B66" s="4" t="s">
        <v>250</v>
      </c>
      <c r="C66" s="4" t="s">
        <v>284</v>
      </c>
      <c r="D66" s="4" t="n">
        <v>177892.44</v>
      </c>
      <c r="E66" s="4" t="n">
        <v>0.053</v>
      </c>
      <c r="F66" s="4" t="n">
        <v>168466.81</v>
      </c>
      <c r="G66" s="4" t="n">
        <v>127223.36</v>
      </c>
      <c r="H66" s="4" t="n">
        <v>41243.45</v>
      </c>
      <c r="I66" s="4" t="n">
        <v>0.2448</v>
      </c>
      <c r="J66" s="4" t="n">
        <v>1.047</v>
      </c>
      <c r="K66" s="4" t="n">
        <v>69</v>
      </c>
      <c r="L66" s="4" t="n">
        <v>45</v>
      </c>
      <c r="M66" s="4" t="n">
        <v>1</v>
      </c>
      <c r="N66" s="4" t="n">
        <v>1</v>
      </c>
    </row>
    <row r="67" customFormat="false" ht="15" hidden="false" customHeight="false" outlineLevel="0" collapsed="false">
      <c r="A67" s="4" t="s">
        <v>409</v>
      </c>
      <c r="B67" s="4" t="s">
        <v>154</v>
      </c>
      <c r="C67" s="4" t="s">
        <v>324</v>
      </c>
      <c r="D67" s="4" t="n">
        <v>108309.93</v>
      </c>
      <c r="E67" s="4" t="n">
        <v>0.0088</v>
      </c>
      <c r="F67" s="4" t="n">
        <v>107353.96</v>
      </c>
      <c r="G67" s="4" t="n">
        <v>79597.02</v>
      </c>
      <c r="H67" s="4" t="n">
        <v>27756.94</v>
      </c>
      <c r="I67" s="4" t="n">
        <v>0.2586</v>
      </c>
      <c r="J67" s="4" t="n">
        <v>0.882</v>
      </c>
      <c r="K67" s="4" t="n">
        <v>61</v>
      </c>
      <c r="L67" s="4" t="n">
        <v>90</v>
      </c>
      <c r="M67" s="4" t="n">
        <v>1</v>
      </c>
      <c r="N67" s="4" t="n">
        <v>1</v>
      </c>
    </row>
    <row r="68" customFormat="false" ht="15" hidden="false" customHeight="false" outlineLevel="0" collapsed="false">
      <c r="A68" s="4" t="s">
        <v>410</v>
      </c>
      <c r="B68" s="4" t="s">
        <v>236</v>
      </c>
      <c r="C68" s="4" t="s">
        <v>330</v>
      </c>
      <c r="D68" s="4" t="n">
        <v>21504.48</v>
      </c>
      <c r="E68" s="4" t="n">
        <v>0.134</v>
      </c>
      <c r="F68" s="4" t="n">
        <v>18623.43</v>
      </c>
      <c r="G68" s="4" t="n">
        <v>15684.82</v>
      </c>
      <c r="H68" s="4" t="n">
        <v>2938.61</v>
      </c>
      <c r="I68" s="4" t="n">
        <v>0.1578</v>
      </c>
      <c r="J68" s="4" t="n">
        <v>0.968</v>
      </c>
      <c r="K68" s="4" t="n">
        <v>62</v>
      </c>
      <c r="L68" s="4" t="n">
        <v>30</v>
      </c>
      <c r="M68" s="4" t="n">
        <v>0</v>
      </c>
      <c r="N68" s="4" t="n">
        <v>1</v>
      </c>
    </row>
    <row r="69" customFormat="false" ht="15" hidden="false" customHeight="false" outlineLevel="0" collapsed="false">
      <c r="A69" s="4" t="s">
        <v>411</v>
      </c>
      <c r="B69" s="4" t="s">
        <v>90</v>
      </c>
      <c r="C69" s="4" t="s">
        <v>302</v>
      </c>
      <c r="D69" s="4" t="n">
        <v>68512.32</v>
      </c>
      <c r="E69" s="4" t="n">
        <v>0.1052</v>
      </c>
      <c r="F69" s="4" t="n">
        <v>61302.79</v>
      </c>
      <c r="G69" s="4" t="n">
        <v>53970.84</v>
      </c>
      <c r="H69" s="4" t="n">
        <v>7331.95</v>
      </c>
      <c r="I69" s="4" t="n">
        <v>0.1196</v>
      </c>
      <c r="J69" s="4" t="n">
        <v>1.074</v>
      </c>
      <c r="K69" s="4" t="n">
        <v>73</v>
      </c>
      <c r="L69" s="4" t="n">
        <v>60</v>
      </c>
      <c r="M69" s="4" t="n">
        <v>0</v>
      </c>
      <c r="N69" s="4" t="n">
        <v>1</v>
      </c>
    </row>
    <row r="70" customFormat="false" ht="15" hidden="false" customHeight="false" outlineLevel="0" collapsed="false">
      <c r="A70" s="4" t="s">
        <v>412</v>
      </c>
      <c r="B70" s="4" t="s">
        <v>74</v>
      </c>
      <c r="C70" s="4" t="s">
        <v>322</v>
      </c>
      <c r="D70" s="4" t="n">
        <v>49655.27</v>
      </c>
      <c r="E70" s="4" t="n">
        <v>0.1064</v>
      </c>
      <c r="F70" s="4" t="n">
        <v>44372.14</v>
      </c>
      <c r="G70" s="4" t="n">
        <v>38930.3</v>
      </c>
      <c r="H70" s="4" t="n">
        <v>5441.84</v>
      </c>
      <c r="I70" s="4" t="n">
        <v>0.1226</v>
      </c>
      <c r="J70" s="4" t="n">
        <v>1.008</v>
      </c>
      <c r="K70" s="4" t="n">
        <v>37</v>
      </c>
      <c r="L70" s="4" t="n">
        <v>30</v>
      </c>
      <c r="M70" s="4" t="n">
        <v>0</v>
      </c>
      <c r="N70" s="4" t="n">
        <v>1</v>
      </c>
    </row>
    <row r="71" customFormat="false" ht="15" hidden="false" customHeight="false" outlineLevel="0" collapsed="false">
      <c r="A71" s="4" t="s">
        <v>413</v>
      </c>
      <c r="B71" s="4" t="s">
        <v>168</v>
      </c>
      <c r="C71" s="4" t="s">
        <v>328</v>
      </c>
      <c r="D71" s="4" t="n">
        <v>47589.88</v>
      </c>
      <c r="E71" s="4" t="n">
        <v>0.0788</v>
      </c>
      <c r="F71" s="4" t="n">
        <v>43838.72</v>
      </c>
      <c r="G71" s="4" t="n">
        <v>31167.1</v>
      </c>
      <c r="H71" s="4" t="n">
        <v>12671.62</v>
      </c>
      <c r="I71" s="4" t="n">
        <v>0.2891</v>
      </c>
      <c r="J71" s="4" t="n">
        <v>1.047</v>
      </c>
      <c r="K71" s="4" t="n">
        <v>50</v>
      </c>
      <c r="L71" s="4" t="n">
        <v>60</v>
      </c>
      <c r="M71" s="4" t="n">
        <v>0</v>
      </c>
      <c r="N71" s="4" t="n">
        <v>0</v>
      </c>
    </row>
    <row r="72" customFormat="false" ht="15" hidden="false" customHeight="false" outlineLevel="0" collapsed="false">
      <c r="A72" s="4" t="s">
        <v>414</v>
      </c>
      <c r="B72" s="4" t="s">
        <v>190</v>
      </c>
      <c r="C72" s="4" t="s">
        <v>330</v>
      </c>
      <c r="D72" s="4" t="n">
        <v>32256.72</v>
      </c>
      <c r="E72" s="4" t="n">
        <v>0.0921</v>
      </c>
      <c r="F72" s="4" t="n">
        <v>29284.48</v>
      </c>
      <c r="G72" s="4" t="n">
        <v>23527.23</v>
      </c>
      <c r="H72" s="4" t="n">
        <v>5757.25</v>
      </c>
      <c r="I72" s="4" t="n">
        <v>0.1966</v>
      </c>
      <c r="J72" s="4" t="n">
        <v>1.03</v>
      </c>
      <c r="K72" s="4" t="n">
        <v>53</v>
      </c>
      <c r="L72" s="4" t="n">
        <v>30</v>
      </c>
      <c r="M72" s="4" t="n">
        <v>10</v>
      </c>
      <c r="N72" s="4" t="n">
        <v>1</v>
      </c>
    </row>
    <row r="73" customFormat="false" ht="15" hidden="false" customHeight="false" outlineLevel="0" collapsed="false">
      <c r="A73" s="4" t="s">
        <v>415</v>
      </c>
      <c r="B73" s="4" t="s">
        <v>122</v>
      </c>
      <c r="C73" s="4" t="s">
        <v>271</v>
      </c>
      <c r="D73" s="4" t="n">
        <v>3435820.15</v>
      </c>
      <c r="E73" s="4" t="n">
        <v>0.0747</v>
      </c>
      <c r="F73" s="4" t="n">
        <v>3179165.12</v>
      </c>
      <c r="G73" s="4" t="n">
        <v>2647513.8</v>
      </c>
      <c r="H73" s="4" t="n">
        <v>531651.32</v>
      </c>
      <c r="I73" s="4" t="n">
        <v>0.1672</v>
      </c>
      <c r="J73" s="4" t="n">
        <v>0.973</v>
      </c>
      <c r="K73" s="4" t="n">
        <v>31</v>
      </c>
      <c r="L73" s="4" t="n">
        <v>30</v>
      </c>
      <c r="M73" s="4" t="n">
        <v>0</v>
      </c>
      <c r="N73" s="4" t="n">
        <v>1</v>
      </c>
    </row>
    <row r="74" customFormat="false" ht="15" hidden="false" customHeight="false" outlineLevel="0" collapsed="false">
      <c r="A74" s="4" t="s">
        <v>416</v>
      </c>
      <c r="B74" s="4" t="s">
        <v>124</v>
      </c>
      <c r="C74" s="4" t="s">
        <v>287</v>
      </c>
      <c r="D74" s="4" t="n">
        <v>41198.32</v>
      </c>
      <c r="E74" s="4" t="n">
        <v>0.0753</v>
      </c>
      <c r="F74" s="4" t="n">
        <v>38097.06</v>
      </c>
      <c r="G74" s="4" t="n">
        <v>36565.68</v>
      </c>
      <c r="H74" s="4" t="n">
        <v>1531.38</v>
      </c>
      <c r="I74" s="4" t="n">
        <v>0.0402</v>
      </c>
      <c r="J74" s="4" t="n">
        <v>1.004</v>
      </c>
      <c r="K74" s="4" t="n">
        <v>16</v>
      </c>
      <c r="L74" s="4" t="n">
        <v>30</v>
      </c>
      <c r="M74" s="4" t="n">
        <v>7</v>
      </c>
      <c r="N74" s="4" t="n">
        <v>1</v>
      </c>
    </row>
    <row r="75" customFormat="false" ht="15" hidden="false" customHeight="false" outlineLevel="0" collapsed="false">
      <c r="A75" s="4" t="s">
        <v>417</v>
      </c>
      <c r="B75" s="4" t="s">
        <v>92</v>
      </c>
      <c r="C75" s="4" t="s">
        <v>281</v>
      </c>
      <c r="D75" s="4" t="n">
        <v>39756.66</v>
      </c>
      <c r="E75" s="4" t="n">
        <v>0.1164</v>
      </c>
      <c r="F75" s="4" t="n">
        <v>35128.09</v>
      </c>
      <c r="G75" s="4" t="n">
        <v>31655.24</v>
      </c>
      <c r="H75" s="4" t="n">
        <v>3472.85</v>
      </c>
      <c r="I75" s="4" t="n">
        <v>0.0989</v>
      </c>
      <c r="J75" s="4" t="n">
        <v>1.082</v>
      </c>
      <c r="K75" s="4" t="n">
        <v>75</v>
      </c>
      <c r="L75" s="4" t="n">
        <v>45</v>
      </c>
      <c r="M75" s="4" t="n">
        <v>3</v>
      </c>
      <c r="N75" s="4" t="n">
        <v>1</v>
      </c>
    </row>
    <row r="76" customFormat="false" ht="15" hidden="false" customHeight="false" outlineLevel="0" collapsed="false">
      <c r="A76" s="4" t="s">
        <v>418</v>
      </c>
      <c r="B76" s="4" t="s">
        <v>53</v>
      </c>
      <c r="C76" s="4" t="s">
        <v>318</v>
      </c>
      <c r="D76" s="4" t="n">
        <v>679017.38</v>
      </c>
      <c r="E76" s="4" t="n">
        <v>0.137</v>
      </c>
      <c r="F76" s="4" t="n">
        <v>586012.23</v>
      </c>
      <c r="G76" s="4" t="n">
        <v>537320.32</v>
      </c>
      <c r="H76" s="4" t="n">
        <v>48691.91</v>
      </c>
      <c r="I76" s="4" t="n">
        <v>0.0831</v>
      </c>
      <c r="J76" s="4" t="n">
        <v>1.011</v>
      </c>
      <c r="K76" s="4" t="n">
        <v>76</v>
      </c>
      <c r="L76" s="4" t="n">
        <v>90</v>
      </c>
      <c r="M76" s="4" t="n">
        <v>10</v>
      </c>
      <c r="N76" s="4" t="n">
        <v>1</v>
      </c>
    </row>
    <row r="77" customFormat="false" ht="15" hidden="false" customHeight="false" outlineLevel="0" collapsed="false">
      <c r="A77" s="4" t="s">
        <v>419</v>
      </c>
      <c r="B77" s="4" t="s">
        <v>206</v>
      </c>
      <c r="C77" s="4" t="s">
        <v>271</v>
      </c>
      <c r="D77" s="4" t="n">
        <v>3435820.15</v>
      </c>
      <c r="E77" s="4" t="n">
        <v>0</v>
      </c>
      <c r="F77" s="4" t="n">
        <v>3435820.15</v>
      </c>
      <c r="G77" s="4" t="n">
        <v>2647513.8</v>
      </c>
      <c r="H77" s="4" t="n">
        <v>788306.35</v>
      </c>
      <c r="I77" s="4" t="n">
        <v>0.2294</v>
      </c>
      <c r="J77" s="4" t="n">
        <v>1.123</v>
      </c>
      <c r="K77" s="4" t="n">
        <v>65</v>
      </c>
      <c r="L77" s="4" t="n">
        <v>30</v>
      </c>
      <c r="M77" s="4" t="n">
        <v>0</v>
      </c>
      <c r="N77" s="4" t="n">
        <v>1</v>
      </c>
    </row>
    <row r="78" customFormat="false" ht="15" hidden="false" customHeight="false" outlineLevel="0" collapsed="false">
      <c r="A78" s="4" t="s">
        <v>420</v>
      </c>
      <c r="B78" s="4" t="s">
        <v>186</v>
      </c>
      <c r="C78" s="4" t="s">
        <v>318</v>
      </c>
      <c r="D78" s="4" t="n">
        <v>2716069.52</v>
      </c>
      <c r="E78" s="4" t="n">
        <v>0.1395</v>
      </c>
      <c r="F78" s="4" t="n">
        <v>2337058.06</v>
      </c>
      <c r="G78" s="4" t="n">
        <v>2149281.28</v>
      </c>
      <c r="H78" s="4" t="n">
        <v>187776.78</v>
      </c>
      <c r="I78" s="4" t="n">
        <v>0.0803</v>
      </c>
      <c r="J78" s="4" t="n">
        <v>0.916</v>
      </c>
      <c r="K78" s="4" t="n">
        <v>34</v>
      </c>
      <c r="L78" s="4" t="n">
        <v>30</v>
      </c>
      <c r="M78" s="4" t="n">
        <v>4</v>
      </c>
      <c r="N78" s="4" t="n">
        <v>1</v>
      </c>
    </row>
    <row r="79" customFormat="false" ht="15" hidden="false" customHeight="false" outlineLevel="0" collapsed="false">
      <c r="A79" s="4" t="s">
        <v>421</v>
      </c>
      <c r="B79" s="4" t="s">
        <v>212</v>
      </c>
      <c r="C79" s="4" t="s">
        <v>310</v>
      </c>
      <c r="D79" s="4" t="n">
        <v>51479.55</v>
      </c>
      <c r="E79" s="4" t="n">
        <v>0.0884</v>
      </c>
      <c r="F79" s="4" t="n">
        <v>46927.27</v>
      </c>
      <c r="G79" s="4" t="n">
        <v>36498.21</v>
      </c>
      <c r="H79" s="4" t="n">
        <v>10429.06</v>
      </c>
      <c r="I79" s="4" t="n">
        <v>0.2222</v>
      </c>
      <c r="J79" s="4" t="n">
        <v>1.039</v>
      </c>
      <c r="K79" s="4" t="n">
        <v>54</v>
      </c>
      <c r="L79" s="4" t="n">
        <v>90</v>
      </c>
      <c r="M79" s="4" t="n">
        <v>6</v>
      </c>
      <c r="N79" s="4" t="n">
        <v>0</v>
      </c>
    </row>
    <row r="80" customFormat="false" ht="15" hidden="false" customHeight="false" outlineLevel="0" collapsed="false">
      <c r="A80" s="4" t="s">
        <v>422</v>
      </c>
      <c r="B80" s="4" t="s">
        <v>236</v>
      </c>
      <c r="C80" s="4" t="s">
        <v>296</v>
      </c>
      <c r="D80" s="4" t="n">
        <v>4125676.84</v>
      </c>
      <c r="E80" s="4" t="n">
        <v>0.1032</v>
      </c>
      <c r="F80" s="4" t="n">
        <v>3699862.23</v>
      </c>
      <c r="G80" s="4" t="n">
        <v>2532948.08</v>
      </c>
      <c r="H80" s="4" t="n">
        <v>1166914.15</v>
      </c>
      <c r="I80" s="4" t="n">
        <v>0.3154</v>
      </c>
      <c r="J80" s="4" t="n">
        <v>0.935</v>
      </c>
      <c r="K80" s="4" t="n">
        <v>61</v>
      </c>
      <c r="L80" s="4" t="n">
        <v>45</v>
      </c>
      <c r="M80" s="4" t="n">
        <v>3</v>
      </c>
      <c r="N80" s="4" t="n">
        <v>1</v>
      </c>
    </row>
    <row r="81" customFormat="false" ht="15" hidden="false" customHeight="false" outlineLevel="0" collapsed="false">
      <c r="A81" s="4" t="s">
        <v>423</v>
      </c>
      <c r="B81" s="4" t="s">
        <v>118</v>
      </c>
      <c r="C81" s="4" t="s">
        <v>308</v>
      </c>
      <c r="D81" s="4" t="n">
        <v>41862.99</v>
      </c>
      <c r="E81" s="4" t="n">
        <v>0.1101</v>
      </c>
      <c r="F81" s="4" t="n">
        <v>37253.27</v>
      </c>
      <c r="G81" s="4" t="n">
        <v>36684.3</v>
      </c>
      <c r="H81" s="4" t="n">
        <v>568.97</v>
      </c>
      <c r="I81" s="4" t="n">
        <v>0.0153</v>
      </c>
      <c r="J81" s="4" t="n">
        <v>1.085</v>
      </c>
      <c r="K81" s="4" t="n">
        <v>61</v>
      </c>
      <c r="L81" s="4" t="n">
        <v>120</v>
      </c>
      <c r="M81" s="4" t="n">
        <v>4</v>
      </c>
      <c r="N81" s="4" t="n">
        <v>0</v>
      </c>
    </row>
    <row r="82" customFormat="false" ht="15" hidden="false" customHeight="false" outlineLevel="0" collapsed="false">
      <c r="A82" s="4" t="s">
        <v>424</v>
      </c>
      <c r="B82" s="4" t="s">
        <v>168</v>
      </c>
      <c r="C82" s="4" t="s">
        <v>322</v>
      </c>
      <c r="D82" s="4" t="n">
        <v>49655.27</v>
      </c>
      <c r="E82" s="4" t="n">
        <v>0.0729</v>
      </c>
      <c r="F82" s="4" t="n">
        <v>46033.08</v>
      </c>
      <c r="G82" s="4" t="n">
        <v>38930.3</v>
      </c>
      <c r="H82" s="4" t="n">
        <v>7102.78</v>
      </c>
      <c r="I82" s="4" t="n">
        <v>0.1543</v>
      </c>
      <c r="J82" s="4" t="n">
        <v>1.068</v>
      </c>
      <c r="K82" s="4" t="n">
        <v>66</v>
      </c>
      <c r="L82" s="4" t="n">
        <v>60</v>
      </c>
      <c r="M82" s="4" t="n">
        <v>0</v>
      </c>
      <c r="N82" s="4" t="n">
        <v>0</v>
      </c>
    </row>
    <row r="83" customFormat="false" ht="15" hidden="false" customHeight="false" outlineLevel="0" collapsed="false">
      <c r="A83" s="4" t="s">
        <v>425</v>
      </c>
      <c r="B83" s="4" t="s">
        <v>82</v>
      </c>
      <c r="C83" s="4" t="s">
        <v>328</v>
      </c>
      <c r="D83" s="4" t="n">
        <v>23794.94</v>
      </c>
      <c r="E83" s="4" t="n">
        <v>0.0877</v>
      </c>
      <c r="F83" s="4" t="n">
        <v>21707.84</v>
      </c>
      <c r="G83" s="4" t="n">
        <v>15583.55</v>
      </c>
      <c r="H83" s="4" t="n">
        <v>6124.29</v>
      </c>
      <c r="I83" s="4" t="n">
        <v>0.2821</v>
      </c>
      <c r="J83" s="4" t="n">
        <v>0.942</v>
      </c>
      <c r="K83" s="4" t="n">
        <v>46</v>
      </c>
      <c r="L83" s="4" t="n">
        <v>60</v>
      </c>
      <c r="M83" s="4" t="n">
        <v>6</v>
      </c>
      <c r="N83" s="4" t="n">
        <v>1</v>
      </c>
    </row>
    <row r="84" customFormat="false" ht="15" hidden="false" customHeight="false" outlineLevel="0" collapsed="false">
      <c r="A84" s="4" t="s">
        <v>426</v>
      </c>
      <c r="B84" s="4" t="s">
        <v>154</v>
      </c>
      <c r="C84" s="4" t="s">
        <v>302</v>
      </c>
      <c r="D84" s="4" t="n">
        <v>34256.16</v>
      </c>
      <c r="E84" s="4" t="n">
        <v>0.1121</v>
      </c>
      <c r="F84" s="4" t="n">
        <v>30416.91</v>
      </c>
      <c r="G84" s="4" t="n">
        <v>26985.42</v>
      </c>
      <c r="H84" s="4" t="n">
        <v>3431.49</v>
      </c>
      <c r="I84" s="4" t="n">
        <v>0.1128</v>
      </c>
      <c r="J84" s="4" t="n">
        <v>0.932</v>
      </c>
      <c r="K84" s="4" t="n">
        <v>28</v>
      </c>
      <c r="L84" s="4" t="n">
        <v>90</v>
      </c>
      <c r="M84" s="4" t="n">
        <v>5</v>
      </c>
      <c r="N84" s="4" t="n">
        <v>1</v>
      </c>
    </row>
    <row r="85" customFormat="false" ht="15" hidden="false" customHeight="false" outlineLevel="0" collapsed="false">
      <c r="A85" s="4" t="s">
        <v>427</v>
      </c>
      <c r="B85" s="4" t="s">
        <v>104</v>
      </c>
      <c r="C85" s="4" t="s">
        <v>274</v>
      </c>
      <c r="D85" s="4" t="n">
        <v>1064919.96</v>
      </c>
      <c r="E85" s="4" t="n">
        <v>0.1349</v>
      </c>
      <c r="F85" s="4" t="n">
        <v>921289.69</v>
      </c>
      <c r="G85" s="4" t="n">
        <v>837866.58</v>
      </c>
      <c r="H85" s="4" t="n">
        <v>83423.11</v>
      </c>
      <c r="I85" s="4" t="n">
        <v>0.0906</v>
      </c>
      <c r="J85" s="4" t="n">
        <v>0.94</v>
      </c>
      <c r="K85" s="4" t="n">
        <v>49</v>
      </c>
      <c r="L85" s="4" t="n">
        <v>30</v>
      </c>
      <c r="M85" s="4" t="n">
        <v>9</v>
      </c>
      <c r="N85" s="4" t="n">
        <v>0</v>
      </c>
    </row>
    <row r="86" customFormat="false" ht="15" hidden="false" customHeight="false" outlineLevel="0" collapsed="false">
      <c r="A86" s="4" t="s">
        <v>428</v>
      </c>
      <c r="B86" s="4" t="s">
        <v>208</v>
      </c>
      <c r="C86" s="4" t="s">
        <v>326</v>
      </c>
      <c r="D86" s="4" t="n">
        <v>424311.6</v>
      </c>
      <c r="E86" s="4" t="n">
        <v>0.2311</v>
      </c>
      <c r="F86" s="4" t="n">
        <v>326239.42</v>
      </c>
      <c r="G86" s="4" t="n">
        <v>273627.4</v>
      </c>
      <c r="H86" s="4" t="n">
        <v>52612.02</v>
      </c>
      <c r="I86" s="4" t="n">
        <v>0.1613</v>
      </c>
      <c r="J86" s="4" t="n">
        <v>0.863</v>
      </c>
      <c r="K86" s="4" t="n">
        <v>45</v>
      </c>
      <c r="L86" s="4" t="n">
        <v>30</v>
      </c>
      <c r="M86" s="4" t="n">
        <v>4</v>
      </c>
      <c r="N86" s="4" t="n">
        <v>1</v>
      </c>
    </row>
    <row r="87" customFormat="false" ht="15" hidden="false" customHeight="false" outlineLevel="0" collapsed="false">
      <c r="A87" s="4" t="s">
        <v>429</v>
      </c>
      <c r="B87" s="4" t="s">
        <v>69</v>
      </c>
      <c r="C87" s="4" t="s">
        <v>316</v>
      </c>
      <c r="D87" s="4" t="n">
        <v>1075350.3</v>
      </c>
      <c r="E87" s="4" t="n">
        <v>0.0327</v>
      </c>
      <c r="F87" s="4" t="n">
        <v>1040218.81</v>
      </c>
      <c r="G87" s="4" t="n">
        <v>684683.34</v>
      </c>
      <c r="H87" s="4" t="n">
        <v>355535.47</v>
      </c>
      <c r="I87" s="4" t="n">
        <v>0.3418</v>
      </c>
      <c r="J87" s="4" t="n">
        <v>1.027</v>
      </c>
      <c r="K87" s="4" t="n">
        <v>61</v>
      </c>
      <c r="L87" s="4" t="n">
        <v>60</v>
      </c>
      <c r="M87" s="4" t="n">
        <v>7</v>
      </c>
      <c r="N87" s="4" t="n">
        <v>1</v>
      </c>
    </row>
    <row r="88" customFormat="false" ht="15" hidden="false" customHeight="false" outlineLevel="0" collapsed="false">
      <c r="A88" s="4" t="s">
        <v>430</v>
      </c>
      <c r="B88" s="4" t="s">
        <v>76</v>
      </c>
      <c r="C88" s="4" t="s">
        <v>310</v>
      </c>
      <c r="D88" s="4" t="n">
        <v>17159.85</v>
      </c>
      <c r="E88" s="4" t="n">
        <v>0.1022</v>
      </c>
      <c r="F88" s="4" t="n">
        <v>15405.74</v>
      </c>
      <c r="G88" s="4" t="n">
        <v>12166.07</v>
      </c>
      <c r="H88" s="4" t="n">
        <v>3239.67</v>
      </c>
      <c r="I88" s="4" t="n">
        <v>0.2103</v>
      </c>
      <c r="J88" s="4" t="n">
        <v>0.851</v>
      </c>
      <c r="K88" s="4" t="n">
        <v>39</v>
      </c>
      <c r="L88" s="4" t="n">
        <v>60</v>
      </c>
      <c r="M88" s="4" t="n">
        <v>2</v>
      </c>
      <c r="N88" s="4" t="n">
        <v>1</v>
      </c>
    </row>
    <row r="89" customFormat="false" ht="15" hidden="false" customHeight="false" outlineLevel="0" collapsed="false">
      <c r="A89" s="4" t="s">
        <v>431</v>
      </c>
      <c r="B89" s="4" t="s">
        <v>120</v>
      </c>
      <c r="C89" s="4" t="s">
        <v>322</v>
      </c>
      <c r="D89" s="4" t="n">
        <v>99310.54</v>
      </c>
      <c r="E89" s="4" t="n">
        <v>0.161</v>
      </c>
      <c r="F89" s="4" t="n">
        <v>83316.94</v>
      </c>
      <c r="G89" s="4" t="n">
        <v>77860.6</v>
      </c>
      <c r="H89" s="4" t="n">
        <v>5456.34</v>
      </c>
      <c r="I89" s="4" t="n">
        <v>0.0655</v>
      </c>
      <c r="J89" s="4" t="n">
        <v>1.044</v>
      </c>
      <c r="K89" s="4" t="n">
        <v>64</v>
      </c>
      <c r="L89" s="4" t="n">
        <v>30</v>
      </c>
      <c r="M89" s="4" t="n">
        <v>0</v>
      </c>
      <c r="N89" s="4" t="n">
        <v>1</v>
      </c>
    </row>
    <row r="90" customFormat="false" ht="15" hidden="false" customHeight="false" outlineLevel="0" collapsed="false">
      <c r="A90" s="4" t="s">
        <v>432</v>
      </c>
      <c r="B90" s="4" t="s">
        <v>186</v>
      </c>
      <c r="C90" s="4" t="s">
        <v>294</v>
      </c>
      <c r="D90" s="4" t="n">
        <v>923505.94</v>
      </c>
      <c r="E90" s="4" t="n">
        <v>0.0605</v>
      </c>
      <c r="F90" s="4" t="n">
        <v>867648.01</v>
      </c>
      <c r="G90" s="4" t="n">
        <v>657280.54</v>
      </c>
      <c r="H90" s="4" t="n">
        <v>210367.47</v>
      </c>
      <c r="I90" s="4" t="n">
        <v>0.2425</v>
      </c>
      <c r="J90" s="4" t="n">
        <v>1.001</v>
      </c>
      <c r="K90" s="4" t="n">
        <v>45</v>
      </c>
      <c r="L90" s="4" t="n">
        <v>30</v>
      </c>
      <c r="M90" s="4" t="n">
        <v>0</v>
      </c>
      <c r="N90" s="4" t="n">
        <v>0</v>
      </c>
    </row>
    <row r="91" customFormat="false" ht="15" hidden="false" customHeight="false" outlineLevel="0" collapsed="false">
      <c r="A91" s="4" t="s">
        <v>433</v>
      </c>
      <c r="B91" s="4" t="s">
        <v>92</v>
      </c>
      <c r="C91" s="4" t="s">
        <v>265</v>
      </c>
      <c r="D91" s="4" t="n">
        <v>383331.4</v>
      </c>
      <c r="E91" s="4" t="n">
        <v>0.1387</v>
      </c>
      <c r="F91" s="4" t="n">
        <v>330148.16</v>
      </c>
      <c r="G91" s="4" t="n">
        <v>271504.66</v>
      </c>
      <c r="H91" s="4" t="n">
        <v>58643.5</v>
      </c>
      <c r="I91" s="4" t="n">
        <v>0.1776</v>
      </c>
      <c r="J91" s="4" t="n">
        <v>1.086</v>
      </c>
      <c r="K91" s="4" t="n">
        <v>54</v>
      </c>
      <c r="L91" s="4" t="n">
        <v>120</v>
      </c>
      <c r="M91" s="4" t="n">
        <v>8</v>
      </c>
      <c r="N91" s="4" t="n">
        <v>1</v>
      </c>
    </row>
    <row r="92" customFormat="false" ht="15" hidden="false" customHeight="false" outlineLevel="0" collapsed="false">
      <c r="A92" s="4" t="s">
        <v>434</v>
      </c>
      <c r="B92" s="4" t="s">
        <v>196</v>
      </c>
      <c r="C92" s="4" t="s">
        <v>296</v>
      </c>
      <c r="D92" s="4" t="n">
        <v>5157096.05</v>
      </c>
      <c r="E92" s="4" t="n">
        <v>0.1305</v>
      </c>
      <c r="F92" s="4" t="n">
        <v>4484201.94</v>
      </c>
      <c r="G92" s="4" t="n">
        <v>3166185.1</v>
      </c>
      <c r="H92" s="4" t="n">
        <v>1318016.84</v>
      </c>
      <c r="I92" s="4" t="n">
        <v>0.2939</v>
      </c>
      <c r="J92" s="4" t="n">
        <v>1.103</v>
      </c>
      <c r="K92" s="4" t="n">
        <v>95</v>
      </c>
      <c r="L92" s="4" t="n">
        <v>60</v>
      </c>
      <c r="M92" s="4" t="n">
        <v>2</v>
      </c>
      <c r="N92" s="4" t="n">
        <v>0</v>
      </c>
    </row>
    <row r="93" customFormat="false" ht="15" hidden="false" customHeight="false" outlineLevel="0" collapsed="false">
      <c r="A93" s="4" t="s">
        <v>435</v>
      </c>
      <c r="B93" s="4" t="s">
        <v>192</v>
      </c>
      <c r="C93" s="4" t="s">
        <v>265</v>
      </c>
      <c r="D93" s="4" t="n">
        <v>574997.1</v>
      </c>
      <c r="E93" s="4" t="n">
        <v>0.0625</v>
      </c>
      <c r="F93" s="4" t="n">
        <v>539038.59</v>
      </c>
      <c r="G93" s="4" t="n">
        <v>407256.99</v>
      </c>
      <c r="H93" s="4" t="n">
        <v>131781.6</v>
      </c>
      <c r="I93" s="4" t="n">
        <v>0.2445</v>
      </c>
      <c r="J93" s="4" t="n">
        <v>0.881</v>
      </c>
      <c r="K93" s="4" t="n">
        <v>61</v>
      </c>
      <c r="L93" s="4" t="n">
        <v>60</v>
      </c>
      <c r="M93" s="4" t="n">
        <v>5</v>
      </c>
      <c r="N93" s="4" t="n">
        <v>0</v>
      </c>
    </row>
    <row r="94" customFormat="false" ht="15" hidden="false" customHeight="false" outlineLevel="0" collapsed="false">
      <c r="A94" s="4" t="s">
        <v>436</v>
      </c>
      <c r="B94" s="4" t="s">
        <v>158</v>
      </c>
      <c r="C94" s="4" t="s">
        <v>324</v>
      </c>
      <c r="D94" s="4" t="n">
        <v>36103.31</v>
      </c>
      <c r="E94" s="4" t="n">
        <v>0.0995</v>
      </c>
      <c r="F94" s="4" t="n">
        <v>32509.37</v>
      </c>
      <c r="G94" s="4" t="n">
        <v>26532.34</v>
      </c>
      <c r="H94" s="4" t="n">
        <v>5977.03</v>
      </c>
      <c r="I94" s="4" t="n">
        <v>0.1839</v>
      </c>
      <c r="J94" s="4" t="n">
        <v>1.046</v>
      </c>
      <c r="K94" s="4" t="n">
        <v>103</v>
      </c>
      <c r="L94" s="4" t="n">
        <v>60</v>
      </c>
      <c r="M94" s="4" t="n">
        <v>8</v>
      </c>
      <c r="N94" s="4" t="n">
        <v>1</v>
      </c>
    </row>
    <row r="95" customFormat="false" ht="15" hidden="false" customHeight="false" outlineLevel="0" collapsed="false">
      <c r="A95" s="4" t="s">
        <v>437</v>
      </c>
      <c r="B95" s="4" t="s">
        <v>53</v>
      </c>
      <c r="C95" s="4" t="s">
        <v>324</v>
      </c>
      <c r="D95" s="4" t="n">
        <v>72206.62</v>
      </c>
      <c r="E95" s="4" t="n">
        <v>0.1846</v>
      </c>
      <c r="F95" s="4" t="n">
        <v>58874.28</v>
      </c>
      <c r="G95" s="4" t="n">
        <v>53064.68</v>
      </c>
      <c r="H95" s="4" t="n">
        <v>5809.6</v>
      </c>
      <c r="I95" s="4" t="n">
        <v>0.0987</v>
      </c>
      <c r="J95" s="4" t="n">
        <v>0.926</v>
      </c>
      <c r="K95" s="4" t="n">
        <v>39</v>
      </c>
      <c r="L95" s="4" t="n">
        <v>90</v>
      </c>
      <c r="M95" s="4" t="n">
        <v>7</v>
      </c>
      <c r="N95" s="4" t="n">
        <v>1</v>
      </c>
    </row>
    <row r="96" customFormat="false" ht="15" hidden="false" customHeight="false" outlineLevel="0" collapsed="false">
      <c r="A96" s="4" t="s">
        <v>438</v>
      </c>
      <c r="B96" s="4" t="s">
        <v>108</v>
      </c>
      <c r="C96" s="4" t="s">
        <v>287</v>
      </c>
      <c r="D96" s="4" t="n">
        <v>20599.16</v>
      </c>
      <c r="E96" s="4" t="n">
        <v>0.0337</v>
      </c>
      <c r="F96" s="4" t="n">
        <v>19904.96</v>
      </c>
      <c r="G96" s="4" t="n">
        <v>18282.84</v>
      </c>
      <c r="H96" s="4" t="n">
        <v>1622.12</v>
      </c>
      <c r="I96" s="4" t="n">
        <v>0.0815</v>
      </c>
      <c r="J96" s="4" t="n">
        <v>0.889</v>
      </c>
      <c r="K96" s="4" t="n">
        <v>78</v>
      </c>
      <c r="L96" s="4" t="n">
        <v>30</v>
      </c>
      <c r="M96" s="4" t="n">
        <v>0</v>
      </c>
      <c r="N96" s="4" t="n">
        <v>0</v>
      </c>
    </row>
    <row r="97" customFormat="false" ht="15" hidden="false" customHeight="false" outlineLevel="0" collapsed="false">
      <c r="A97" s="4" t="s">
        <v>439</v>
      </c>
      <c r="B97" s="4" t="s">
        <v>248</v>
      </c>
      <c r="C97" s="4" t="s">
        <v>308</v>
      </c>
      <c r="D97" s="4" t="n">
        <v>13954.33</v>
      </c>
      <c r="E97" s="4" t="n">
        <v>0.0698</v>
      </c>
      <c r="F97" s="4" t="n">
        <v>12980.81</v>
      </c>
      <c r="G97" s="4" t="n">
        <v>12228.1</v>
      </c>
      <c r="H97" s="4" t="n">
        <v>752.71</v>
      </c>
      <c r="I97" s="4" t="n">
        <v>0.058</v>
      </c>
      <c r="J97" s="4" t="n">
        <v>1.093</v>
      </c>
      <c r="K97" s="4" t="n">
        <v>39</v>
      </c>
      <c r="L97" s="4" t="n">
        <v>90</v>
      </c>
      <c r="M97" s="4" t="n">
        <v>4</v>
      </c>
      <c r="N97" s="4" t="n">
        <v>1</v>
      </c>
    </row>
    <row r="98" customFormat="false" ht="15" hidden="false" customHeight="false" outlineLevel="0" collapsed="false">
      <c r="A98" s="4" t="s">
        <v>440</v>
      </c>
      <c r="B98" s="4" t="s">
        <v>228</v>
      </c>
      <c r="C98" s="4" t="s">
        <v>298</v>
      </c>
      <c r="D98" s="4" t="n">
        <v>891722.96</v>
      </c>
      <c r="E98" s="4" t="n">
        <v>0.0966</v>
      </c>
      <c r="F98" s="4" t="n">
        <v>805582.72</v>
      </c>
      <c r="G98" s="4" t="n">
        <v>673274.35</v>
      </c>
      <c r="H98" s="4" t="n">
        <v>132308.37</v>
      </c>
      <c r="I98" s="4" t="n">
        <v>0.1642</v>
      </c>
      <c r="J98" s="4" t="n">
        <v>1.02</v>
      </c>
      <c r="K98" s="4" t="n">
        <v>81</v>
      </c>
      <c r="L98" s="4" t="n">
        <v>90</v>
      </c>
      <c r="M98" s="4" t="n">
        <v>0</v>
      </c>
      <c r="N98" s="4" t="n">
        <v>1</v>
      </c>
    </row>
    <row r="99" customFormat="false" ht="15" hidden="false" customHeight="false" outlineLevel="0" collapsed="false">
      <c r="A99" s="4" t="s">
        <v>441</v>
      </c>
      <c r="B99" s="4" t="s">
        <v>118</v>
      </c>
      <c r="C99" s="4" t="s">
        <v>294</v>
      </c>
      <c r="D99" s="4" t="n">
        <v>1847011.88</v>
      </c>
      <c r="E99" s="4" t="n">
        <v>0.0793</v>
      </c>
      <c r="F99" s="4" t="n">
        <v>1700634.33</v>
      </c>
      <c r="G99" s="4" t="n">
        <v>1314561.08</v>
      </c>
      <c r="H99" s="4" t="n">
        <v>386073.25</v>
      </c>
      <c r="I99" s="4" t="n">
        <v>0.227</v>
      </c>
      <c r="J99" s="4" t="n">
        <v>1.038</v>
      </c>
      <c r="K99" s="4" t="n">
        <v>75</v>
      </c>
      <c r="L99" s="4" t="n">
        <v>30</v>
      </c>
      <c r="M99" s="4" t="n">
        <v>4</v>
      </c>
      <c r="N99" s="4" t="n">
        <v>0</v>
      </c>
    </row>
    <row r="100" customFormat="false" ht="15" hidden="false" customHeight="false" outlineLevel="0" collapsed="false">
      <c r="A100" s="4" t="s">
        <v>442</v>
      </c>
      <c r="B100" s="4" t="s">
        <v>176</v>
      </c>
      <c r="C100" s="4" t="s">
        <v>326</v>
      </c>
      <c r="D100" s="4" t="n">
        <v>424311.6</v>
      </c>
      <c r="E100" s="4" t="n">
        <v>0.0345</v>
      </c>
      <c r="F100" s="4" t="n">
        <v>409682.34</v>
      </c>
      <c r="G100" s="4" t="n">
        <v>273627.4</v>
      </c>
      <c r="H100" s="4" t="n">
        <v>136054.94</v>
      </c>
      <c r="I100" s="4" t="n">
        <v>0.3321</v>
      </c>
      <c r="J100" s="4" t="n">
        <v>1.051</v>
      </c>
      <c r="K100" s="4" t="n">
        <v>78</v>
      </c>
      <c r="L100" s="4" t="n">
        <v>30</v>
      </c>
      <c r="M100" s="4" t="n">
        <v>0</v>
      </c>
      <c r="N100" s="4" t="n">
        <v>1</v>
      </c>
    </row>
    <row r="101" customFormat="false" ht="15" hidden="false" customHeight="false" outlineLevel="0" collapsed="false">
      <c r="A101" s="4" t="s">
        <v>443</v>
      </c>
      <c r="B101" s="4" t="s">
        <v>53</v>
      </c>
      <c r="C101" s="4" t="s">
        <v>274</v>
      </c>
      <c r="D101" s="4" t="n">
        <v>354973.32</v>
      </c>
      <c r="E101" s="4" t="n">
        <v>0.0782</v>
      </c>
      <c r="F101" s="4" t="n">
        <v>327223.95</v>
      </c>
      <c r="G101" s="4" t="n">
        <v>279288.86</v>
      </c>
      <c r="H101" s="4" t="n">
        <v>47935.09</v>
      </c>
      <c r="I101" s="4" t="n">
        <v>0.1465</v>
      </c>
      <c r="J101" s="4" t="n">
        <v>0.841</v>
      </c>
      <c r="K101" s="4" t="n">
        <v>84</v>
      </c>
      <c r="L101" s="4" t="n">
        <v>45</v>
      </c>
      <c r="M101" s="4" t="n">
        <v>11</v>
      </c>
      <c r="N101" s="4" t="n">
        <v>1</v>
      </c>
    </row>
    <row r="102" customFormat="false" ht="15" hidden="false" customHeight="false" outlineLevel="0" collapsed="false">
      <c r="A102" s="4" t="s">
        <v>444</v>
      </c>
      <c r="B102" s="4" t="s">
        <v>200</v>
      </c>
      <c r="C102" s="4" t="s">
        <v>296</v>
      </c>
      <c r="D102" s="4" t="n">
        <v>1031419.21</v>
      </c>
      <c r="E102" s="4" t="n">
        <v>0.1179</v>
      </c>
      <c r="F102" s="4" t="n">
        <v>909841.27</v>
      </c>
      <c r="G102" s="4" t="n">
        <v>633237.02</v>
      </c>
      <c r="H102" s="4" t="n">
        <v>276604.25</v>
      </c>
      <c r="I102" s="4" t="n">
        <v>0.304</v>
      </c>
      <c r="J102" s="4" t="n">
        <v>1.182</v>
      </c>
      <c r="K102" s="4" t="n">
        <v>79</v>
      </c>
      <c r="L102" s="4" t="n">
        <v>30</v>
      </c>
      <c r="M102" s="4" t="n">
        <v>8</v>
      </c>
      <c r="N102" s="4" t="n">
        <v>1</v>
      </c>
    </row>
    <row r="103" customFormat="false" ht="15" hidden="false" customHeight="false" outlineLevel="0" collapsed="false">
      <c r="A103" s="4" t="s">
        <v>445</v>
      </c>
      <c r="B103" s="4" t="s">
        <v>190</v>
      </c>
      <c r="C103" s="4" t="s">
        <v>302</v>
      </c>
      <c r="D103" s="4" t="n">
        <v>68512.32</v>
      </c>
      <c r="E103" s="4" t="n">
        <v>0.0572</v>
      </c>
      <c r="F103" s="4" t="n">
        <v>64595.49</v>
      </c>
      <c r="G103" s="4" t="n">
        <v>53970.84</v>
      </c>
      <c r="H103" s="4" t="n">
        <v>10624.65</v>
      </c>
      <c r="I103" s="4" t="n">
        <v>0.1645</v>
      </c>
      <c r="J103" s="4" t="n">
        <v>1.093</v>
      </c>
      <c r="K103" s="4" t="n">
        <v>78</v>
      </c>
      <c r="L103" s="4" t="n">
        <v>90</v>
      </c>
      <c r="M103" s="4" t="n">
        <v>1</v>
      </c>
      <c r="N103" s="4" t="n">
        <v>1</v>
      </c>
    </row>
    <row r="104" customFormat="false" ht="15" hidden="false" customHeight="false" outlineLevel="0" collapsed="false">
      <c r="A104" s="4" t="s">
        <v>446</v>
      </c>
      <c r="B104" s="4" t="s">
        <v>114</v>
      </c>
      <c r="C104" s="4" t="s">
        <v>265</v>
      </c>
      <c r="D104" s="4" t="n">
        <v>958328.5</v>
      </c>
      <c r="E104" s="4" t="n">
        <v>0.0475</v>
      </c>
      <c r="F104" s="4" t="n">
        <v>912808.89</v>
      </c>
      <c r="G104" s="4" t="n">
        <v>678761.65</v>
      </c>
      <c r="H104" s="4" t="n">
        <v>234047.24</v>
      </c>
      <c r="I104" s="4" t="n">
        <v>0.2564</v>
      </c>
      <c r="J104" s="4" t="n">
        <v>0.779</v>
      </c>
      <c r="K104" s="4" t="n">
        <v>51</v>
      </c>
      <c r="L104" s="4" t="n">
        <v>45</v>
      </c>
      <c r="M104" s="4" t="n">
        <v>0</v>
      </c>
      <c r="N104" s="4" t="n">
        <v>1</v>
      </c>
    </row>
    <row r="105" customFormat="false" ht="15" hidden="false" customHeight="false" outlineLevel="0" collapsed="false">
      <c r="A105" s="4" t="s">
        <v>447</v>
      </c>
      <c r="B105" s="4" t="s">
        <v>60</v>
      </c>
      <c r="C105" s="4" t="s">
        <v>265</v>
      </c>
      <c r="D105" s="4" t="n">
        <v>574997.1</v>
      </c>
      <c r="E105" s="4" t="n">
        <v>0.1191</v>
      </c>
      <c r="F105" s="4" t="n">
        <v>506542.86</v>
      </c>
      <c r="G105" s="4" t="n">
        <v>407256.99</v>
      </c>
      <c r="H105" s="4" t="n">
        <v>99285.87</v>
      </c>
      <c r="I105" s="4" t="n">
        <v>0.196</v>
      </c>
      <c r="J105" s="4" t="n">
        <v>1.021</v>
      </c>
      <c r="K105" s="4" t="n">
        <v>66</v>
      </c>
      <c r="L105" s="4" t="n">
        <v>30</v>
      </c>
      <c r="M105" s="4" t="n">
        <v>9</v>
      </c>
      <c r="N105" s="4" t="n">
        <v>0</v>
      </c>
    </row>
    <row r="106" customFormat="false" ht="15" hidden="false" customHeight="false" outlineLevel="0" collapsed="false">
      <c r="A106" s="4" t="s">
        <v>448</v>
      </c>
      <c r="B106" s="4" t="s">
        <v>76</v>
      </c>
      <c r="C106" s="4" t="s">
        <v>310</v>
      </c>
      <c r="D106" s="4" t="n">
        <v>85799.25</v>
      </c>
      <c r="E106" s="4" t="n">
        <v>0.0761</v>
      </c>
      <c r="F106" s="4" t="n">
        <v>79271.15</v>
      </c>
      <c r="G106" s="4" t="n">
        <v>60830.35</v>
      </c>
      <c r="H106" s="4" t="n">
        <v>18440.8</v>
      </c>
      <c r="I106" s="4" t="n">
        <v>0.2326</v>
      </c>
      <c r="J106" s="4" t="n">
        <v>1.032</v>
      </c>
      <c r="K106" s="4" t="n">
        <v>104</v>
      </c>
      <c r="L106" s="4" t="n">
        <v>45</v>
      </c>
      <c r="M106" s="4" t="n">
        <v>3</v>
      </c>
      <c r="N106" s="4" t="n">
        <v>1</v>
      </c>
    </row>
    <row r="107" customFormat="false" ht="15" hidden="false" customHeight="false" outlineLevel="0" collapsed="false">
      <c r="A107" s="4" t="s">
        <v>449</v>
      </c>
      <c r="B107" s="4" t="s">
        <v>190</v>
      </c>
      <c r="C107" s="4" t="s">
        <v>312</v>
      </c>
      <c r="D107" s="4" t="n">
        <v>313222.16</v>
      </c>
      <c r="E107" s="4" t="n">
        <v>0.0791</v>
      </c>
      <c r="F107" s="4" t="n">
        <v>288450.73</v>
      </c>
      <c r="G107" s="4" t="n">
        <v>206768.56</v>
      </c>
      <c r="H107" s="4" t="n">
        <v>81682.17</v>
      </c>
      <c r="I107" s="4" t="n">
        <v>0.2832</v>
      </c>
      <c r="J107" s="4" t="n">
        <v>0.809</v>
      </c>
      <c r="K107" s="4" t="n">
        <v>70</v>
      </c>
      <c r="L107" s="4" t="n">
        <v>90</v>
      </c>
      <c r="M107" s="4" t="n">
        <v>12</v>
      </c>
      <c r="N107" s="4" t="n">
        <v>1</v>
      </c>
    </row>
    <row r="108" customFormat="false" ht="15" hidden="false" customHeight="false" outlineLevel="0" collapsed="false">
      <c r="A108" s="4" t="s">
        <v>450</v>
      </c>
      <c r="B108" s="4" t="s">
        <v>144</v>
      </c>
      <c r="C108" s="4" t="s">
        <v>312</v>
      </c>
      <c r="D108" s="4" t="n">
        <v>783055.4</v>
      </c>
      <c r="E108" s="4" t="n">
        <v>0.0099</v>
      </c>
      <c r="F108" s="4" t="n">
        <v>775323.02</v>
      </c>
      <c r="G108" s="4" t="n">
        <v>516921.4</v>
      </c>
      <c r="H108" s="4" t="n">
        <v>258401.62</v>
      </c>
      <c r="I108" s="4" t="n">
        <v>0.3333</v>
      </c>
      <c r="J108" s="4" t="n">
        <v>1.021</v>
      </c>
      <c r="K108" s="4" t="n">
        <v>59</v>
      </c>
      <c r="L108" s="4" t="n">
        <v>30</v>
      </c>
      <c r="M108" s="4" t="n">
        <v>0</v>
      </c>
      <c r="N108" s="4" t="n">
        <v>0</v>
      </c>
    </row>
    <row r="109" customFormat="false" ht="15" hidden="false" customHeight="false" outlineLevel="0" collapsed="false">
      <c r="A109" s="4" t="s">
        <v>451</v>
      </c>
      <c r="B109" s="4" t="s">
        <v>222</v>
      </c>
      <c r="C109" s="4" t="s">
        <v>287</v>
      </c>
      <c r="D109" s="4" t="n">
        <v>20599.16</v>
      </c>
      <c r="E109" s="4" t="n">
        <v>0.125</v>
      </c>
      <c r="F109" s="4" t="n">
        <v>18024.78</v>
      </c>
      <c r="G109" s="4" t="n">
        <v>18282.84</v>
      </c>
      <c r="H109" s="4" t="n">
        <v>-258.06</v>
      </c>
      <c r="I109" s="4" t="n">
        <v>-0.0143</v>
      </c>
      <c r="J109" s="4" t="n">
        <v>1.068</v>
      </c>
      <c r="K109" s="4" t="n">
        <v>89</v>
      </c>
      <c r="L109" s="4" t="n">
        <v>90</v>
      </c>
      <c r="M109" s="4" t="n">
        <v>0</v>
      </c>
      <c r="N109" s="4" t="n">
        <v>1</v>
      </c>
    </row>
    <row r="110" customFormat="false" ht="15" hidden="false" customHeight="false" outlineLevel="0" collapsed="false">
      <c r="A110" s="4" t="s">
        <v>452</v>
      </c>
      <c r="B110" s="4" t="s">
        <v>114</v>
      </c>
      <c r="C110" s="4" t="s">
        <v>306</v>
      </c>
      <c r="D110" s="4" t="n">
        <v>93719.35</v>
      </c>
      <c r="E110" s="4" t="n">
        <v>0.0832</v>
      </c>
      <c r="F110" s="4" t="n">
        <v>85923.61</v>
      </c>
      <c r="G110" s="4" t="n">
        <v>65105.98</v>
      </c>
      <c r="H110" s="4" t="n">
        <v>20817.63</v>
      </c>
      <c r="I110" s="4" t="n">
        <v>0.2423</v>
      </c>
      <c r="J110" s="4" t="n">
        <v>0.945</v>
      </c>
      <c r="K110" s="4" t="n">
        <v>90</v>
      </c>
      <c r="L110" s="4" t="n">
        <v>60</v>
      </c>
      <c r="M110" s="4" t="n">
        <v>4</v>
      </c>
      <c r="N110" s="4" t="n">
        <v>0</v>
      </c>
    </row>
    <row r="111" customFormat="false" ht="15" hidden="false" customHeight="false" outlineLevel="0" collapsed="false">
      <c r="A111" s="4" t="s">
        <v>453</v>
      </c>
      <c r="B111" s="4" t="s">
        <v>252</v>
      </c>
      <c r="C111" s="4" t="s">
        <v>312</v>
      </c>
      <c r="D111" s="4" t="n">
        <v>626444.32</v>
      </c>
      <c r="E111" s="4" t="n">
        <v>0.1169</v>
      </c>
      <c r="F111" s="4" t="n">
        <v>553226.88</v>
      </c>
      <c r="G111" s="4" t="n">
        <v>413537.12</v>
      </c>
      <c r="H111" s="4" t="n">
        <v>139689.76</v>
      </c>
      <c r="I111" s="4" t="n">
        <v>0.2525</v>
      </c>
      <c r="J111" s="4" t="n">
        <v>0.905</v>
      </c>
      <c r="K111" s="4" t="n">
        <v>16</v>
      </c>
      <c r="L111" s="4" t="n">
        <v>60</v>
      </c>
      <c r="M111" s="4" t="n">
        <v>3</v>
      </c>
      <c r="N111" s="4" t="n">
        <v>1</v>
      </c>
    </row>
    <row r="112" customFormat="false" ht="15" hidden="false" customHeight="false" outlineLevel="0" collapsed="false">
      <c r="A112" s="4" t="s">
        <v>454</v>
      </c>
      <c r="B112" s="4" t="s">
        <v>160</v>
      </c>
      <c r="C112" s="4" t="s">
        <v>326</v>
      </c>
      <c r="D112" s="4" t="n">
        <v>254586.96</v>
      </c>
      <c r="E112" s="4" t="n">
        <v>0.0286</v>
      </c>
      <c r="F112" s="4" t="n">
        <v>247306.07</v>
      </c>
      <c r="G112" s="4" t="n">
        <v>164176.44</v>
      </c>
      <c r="H112" s="4" t="n">
        <v>83129.63</v>
      </c>
      <c r="I112" s="4" t="n">
        <v>0.3361</v>
      </c>
      <c r="J112" s="4" t="n">
        <v>0.972</v>
      </c>
      <c r="K112" s="4" t="n">
        <v>69</v>
      </c>
      <c r="L112" s="4" t="n">
        <v>45</v>
      </c>
      <c r="M112" s="4" t="n">
        <v>11</v>
      </c>
      <c r="N112" s="4" t="n">
        <v>1</v>
      </c>
    </row>
    <row r="113" customFormat="false" ht="15" hidden="false" customHeight="false" outlineLevel="0" collapsed="false">
      <c r="A113" s="4" t="s">
        <v>455</v>
      </c>
      <c r="B113" s="4" t="s">
        <v>190</v>
      </c>
      <c r="C113" s="4" t="s">
        <v>330</v>
      </c>
      <c r="D113" s="4" t="n">
        <v>32256.72</v>
      </c>
      <c r="E113" s="4" t="n">
        <v>0.0343</v>
      </c>
      <c r="F113" s="4" t="n">
        <v>31149.02</v>
      </c>
      <c r="G113" s="4" t="n">
        <v>23527.23</v>
      </c>
      <c r="H113" s="4" t="n">
        <v>7621.79</v>
      </c>
      <c r="I113" s="4" t="n">
        <v>0.2447</v>
      </c>
      <c r="J113" s="4" t="n">
        <v>1.063</v>
      </c>
      <c r="K113" s="4" t="n">
        <v>37</v>
      </c>
      <c r="L113" s="4" t="n">
        <v>30</v>
      </c>
      <c r="M113" s="4" t="n">
        <v>4</v>
      </c>
      <c r="N113" s="4" t="n">
        <v>1</v>
      </c>
    </row>
    <row r="114" customFormat="false" ht="15" hidden="false" customHeight="false" outlineLevel="0" collapsed="false">
      <c r="A114" s="4" t="s">
        <v>456</v>
      </c>
      <c r="B114" s="4" t="s">
        <v>84</v>
      </c>
      <c r="C114" s="4" t="s">
        <v>326</v>
      </c>
      <c r="D114" s="4" t="n">
        <v>424311.6</v>
      </c>
      <c r="E114" s="4" t="n">
        <v>0.1247</v>
      </c>
      <c r="F114" s="4" t="n">
        <v>371390.51</v>
      </c>
      <c r="G114" s="4" t="n">
        <v>273627.4</v>
      </c>
      <c r="H114" s="4" t="n">
        <v>97763.11</v>
      </c>
      <c r="I114" s="4" t="n">
        <v>0.2632</v>
      </c>
      <c r="J114" s="4" t="n">
        <v>0.944</v>
      </c>
      <c r="K114" s="4" t="n">
        <v>60</v>
      </c>
      <c r="L114" s="4" t="n">
        <v>90</v>
      </c>
      <c r="M114" s="4" t="n">
        <v>1</v>
      </c>
      <c r="N114" s="4" t="n">
        <v>0</v>
      </c>
    </row>
    <row r="115" customFormat="false" ht="15" hidden="false" customHeight="false" outlineLevel="0" collapsed="false">
      <c r="A115" s="4" t="s">
        <v>457</v>
      </c>
      <c r="B115" s="4" t="s">
        <v>198</v>
      </c>
      <c r="C115" s="4" t="s">
        <v>324</v>
      </c>
      <c r="D115" s="4" t="n">
        <v>108309.93</v>
      </c>
      <c r="E115" s="4" t="n">
        <v>0.0571</v>
      </c>
      <c r="F115" s="4" t="n">
        <v>102120.09</v>
      </c>
      <c r="G115" s="4" t="n">
        <v>79597.02</v>
      </c>
      <c r="H115" s="4" t="n">
        <v>22523.07</v>
      </c>
      <c r="I115" s="4" t="n">
        <v>0.2206</v>
      </c>
      <c r="J115" s="4" t="n">
        <v>1.055</v>
      </c>
      <c r="K115" s="4" t="n">
        <v>47</v>
      </c>
      <c r="L115" s="4" t="n">
        <v>60</v>
      </c>
      <c r="M115" s="4" t="n">
        <v>8</v>
      </c>
      <c r="N115" s="4" t="n">
        <v>1</v>
      </c>
    </row>
    <row r="116" customFormat="false" ht="15" hidden="false" customHeight="false" outlineLevel="0" collapsed="false">
      <c r="A116" s="4" t="s">
        <v>458</v>
      </c>
      <c r="B116" s="4" t="s">
        <v>188</v>
      </c>
      <c r="C116" s="4" t="s">
        <v>316</v>
      </c>
      <c r="D116" s="4" t="n">
        <v>716900.2</v>
      </c>
      <c r="E116" s="4" t="n">
        <v>0.1333</v>
      </c>
      <c r="F116" s="4" t="n">
        <v>621338.49</v>
      </c>
      <c r="G116" s="4" t="n">
        <v>456455.56</v>
      </c>
      <c r="H116" s="4" t="n">
        <v>164882.93</v>
      </c>
      <c r="I116" s="4" t="n">
        <v>0.2654</v>
      </c>
      <c r="J116" s="4" t="n">
        <v>0.867</v>
      </c>
      <c r="K116" s="4" t="n">
        <v>66</v>
      </c>
      <c r="L116" s="4" t="n">
        <v>45</v>
      </c>
      <c r="M116" s="4" t="n">
        <v>0</v>
      </c>
      <c r="N116" s="4" t="n">
        <v>1</v>
      </c>
    </row>
    <row r="117" customFormat="false" ht="15" hidden="false" customHeight="false" outlineLevel="0" collapsed="false">
      <c r="A117" s="4" t="s">
        <v>459</v>
      </c>
      <c r="B117" s="4" t="s">
        <v>252</v>
      </c>
      <c r="C117" s="4" t="s">
        <v>300</v>
      </c>
      <c r="D117" s="4" t="n">
        <v>73132.95</v>
      </c>
      <c r="E117" s="4" t="n">
        <v>0.0748</v>
      </c>
      <c r="F117" s="4" t="n">
        <v>67663.37</v>
      </c>
      <c r="G117" s="4" t="n">
        <v>60488.22</v>
      </c>
      <c r="H117" s="4" t="n">
        <v>7175.15</v>
      </c>
      <c r="I117" s="4" t="n">
        <v>0.106</v>
      </c>
      <c r="J117" s="4" t="n">
        <v>1.047</v>
      </c>
      <c r="K117" s="4" t="n">
        <v>51</v>
      </c>
      <c r="L117" s="4" t="n">
        <v>60</v>
      </c>
      <c r="M117" s="4" t="n">
        <v>2</v>
      </c>
      <c r="N117" s="4" t="n">
        <v>0</v>
      </c>
    </row>
    <row r="118" customFormat="false" ht="15" hidden="false" customHeight="false" outlineLevel="0" collapsed="false">
      <c r="A118" s="4" t="s">
        <v>460</v>
      </c>
      <c r="B118" s="4" t="s">
        <v>212</v>
      </c>
      <c r="C118" s="4" t="s">
        <v>308</v>
      </c>
      <c r="D118" s="4" t="n">
        <v>69771.65</v>
      </c>
      <c r="E118" s="4" t="n">
        <v>0.0352</v>
      </c>
      <c r="F118" s="4" t="n">
        <v>67315.48</v>
      </c>
      <c r="G118" s="4" t="n">
        <v>61140.5</v>
      </c>
      <c r="H118" s="4" t="n">
        <v>6174.98</v>
      </c>
      <c r="I118" s="4" t="n">
        <v>0.0917</v>
      </c>
      <c r="J118" s="4" t="n">
        <v>0.868</v>
      </c>
      <c r="K118" s="4" t="n">
        <v>65</v>
      </c>
      <c r="L118" s="4" t="n">
        <v>45</v>
      </c>
      <c r="M118" s="4" t="n">
        <v>0</v>
      </c>
      <c r="N118" s="4" t="n">
        <v>0</v>
      </c>
    </row>
    <row r="119" customFormat="false" ht="15" hidden="false" customHeight="false" outlineLevel="0" collapsed="false">
      <c r="A119" s="4" t="s">
        <v>461</v>
      </c>
      <c r="B119" s="4" t="s">
        <v>160</v>
      </c>
      <c r="C119" s="4" t="s">
        <v>290</v>
      </c>
      <c r="D119" s="4" t="n">
        <v>4749.47</v>
      </c>
      <c r="E119" s="4" t="n">
        <v>0.1573</v>
      </c>
      <c r="F119" s="4" t="n">
        <v>4002.45</v>
      </c>
      <c r="G119" s="4" t="n">
        <v>3427.5</v>
      </c>
      <c r="H119" s="4" t="n">
        <v>574.95</v>
      </c>
      <c r="I119" s="4" t="n">
        <v>0.1436</v>
      </c>
      <c r="J119" s="4" t="n">
        <v>0.864</v>
      </c>
      <c r="K119" s="4" t="n">
        <v>31</v>
      </c>
      <c r="L119" s="4" t="n">
        <v>90</v>
      </c>
      <c r="M119" s="4" t="n">
        <v>13</v>
      </c>
      <c r="N119" s="4" t="n">
        <v>1</v>
      </c>
    </row>
    <row r="120" customFormat="false" ht="15" hidden="false" customHeight="false" outlineLevel="0" collapsed="false">
      <c r="A120" s="4" t="s">
        <v>462</v>
      </c>
      <c r="B120" s="4" t="s">
        <v>112</v>
      </c>
      <c r="C120" s="4" t="s">
        <v>292</v>
      </c>
      <c r="D120" s="4" t="n">
        <v>401272.72</v>
      </c>
      <c r="E120" s="4" t="n">
        <v>0</v>
      </c>
      <c r="F120" s="4" t="n">
        <v>401272.72</v>
      </c>
      <c r="G120" s="4" t="n">
        <v>296486.72</v>
      </c>
      <c r="H120" s="4" t="n">
        <v>104786</v>
      </c>
      <c r="I120" s="4" t="n">
        <v>0.2611</v>
      </c>
      <c r="J120" s="4" t="n">
        <v>0.851</v>
      </c>
      <c r="K120" s="4" t="n">
        <v>54</v>
      </c>
      <c r="L120" s="4" t="n">
        <v>45</v>
      </c>
      <c r="M120" s="4" t="n">
        <v>1</v>
      </c>
      <c r="N120" s="4" t="n">
        <v>1</v>
      </c>
    </row>
    <row r="121" customFormat="false" ht="15" hidden="false" customHeight="false" outlineLevel="0" collapsed="false">
      <c r="A121" s="4" t="s">
        <v>463</v>
      </c>
      <c r="B121" s="4" t="s">
        <v>142</v>
      </c>
      <c r="C121" s="4" t="s">
        <v>294</v>
      </c>
      <c r="D121" s="4" t="n">
        <v>923505.94</v>
      </c>
      <c r="E121" s="4" t="n">
        <v>0.1598</v>
      </c>
      <c r="F121" s="4" t="n">
        <v>775888.84</v>
      </c>
      <c r="G121" s="4" t="n">
        <v>657280.54</v>
      </c>
      <c r="H121" s="4" t="n">
        <v>118608.3</v>
      </c>
      <c r="I121" s="4" t="n">
        <v>0.1529</v>
      </c>
      <c r="J121" s="4" t="n">
        <v>0.954</v>
      </c>
      <c r="K121" s="4" t="n">
        <v>49</v>
      </c>
      <c r="L121" s="4" t="n">
        <v>30</v>
      </c>
      <c r="M121" s="4" t="n">
        <v>0</v>
      </c>
      <c r="N121" s="4" t="n">
        <v>1</v>
      </c>
    </row>
    <row r="122" customFormat="false" ht="15" hidden="false" customHeight="false" outlineLevel="0" collapsed="false">
      <c r="A122" s="4" t="s">
        <v>464</v>
      </c>
      <c r="B122" s="4" t="s">
        <v>53</v>
      </c>
      <c r="C122" s="4" t="s">
        <v>320</v>
      </c>
      <c r="D122" s="4" t="n">
        <v>202104.35</v>
      </c>
      <c r="E122" s="4" t="n">
        <v>0.0934</v>
      </c>
      <c r="F122" s="4" t="n">
        <v>183234.06</v>
      </c>
      <c r="G122" s="4" t="n">
        <v>143161.85</v>
      </c>
      <c r="H122" s="4" t="n">
        <v>40072.21</v>
      </c>
      <c r="I122" s="4" t="n">
        <v>0.2187</v>
      </c>
      <c r="J122" s="4" t="n">
        <v>0.923</v>
      </c>
      <c r="K122" s="4" t="n">
        <v>40</v>
      </c>
      <c r="L122" s="4" t="n">
        <v>45</v>
      </c>
      <c r="M122" s="4" t="n">
        <v>10</v>
      </c>
      <c r="N122" s="4" t="n">
        <v>0</v>
      </c>
    </row>
    <row r="123" customFormat="false" ht="15" hidden="false" customHeight="false" outlineLevel="0" collapsed="false">
      <c r="A123" s="4" t="s">
        <v>465</v>
      </c>
      <c r="B123" s="4" t="s">
        <v>130</v>
      </c>
      <c r="C123" s="4" t="s">
        <v>326</v>
      </c>
      <c r="D123" s="4" t="n">
        <v>424311.6</v>
      </c>
      <c r="E123" s="4" t="n">
        <v>0.1146</v>
      </c>
      <c r="F123" s="4" t="n">
        <v>375703.01</v>
      </c>
      <c r="G123" s="4" t="n">
        <v>273627.4</v>
      </c>
      <c r="H123" s="4" t="n">
        <v>102075.61</v>
      </c>
      <c r="I123" s="4" t="n">
        <v>0.2717</v>
      </c>
      <c r="J123" s="4" t="n">
        <v>0.922</v>
      </c>
      <c r="K123" s="4" t="n">
        <v>74</v>
      </c>
      <c r="L123" s="4" t="n">
        <v>90</v>
      </c>
      <c r="M123" s="4" t="n">
        <v>15</v>
      </c>
      <c r="N123" s="4" t="n">
        <v>1</v>
      </c>
    </row>
    <row r="124" customFormat="false" ht="15" hidden="false" customHeight="false" outlineLevel="0" collapsed="false">
      <c r="A124" s="4" t="s">
        <v>466</v>
      </c>
      <c r="B124" s="4" t="s">
        <v>178</v>
      </c>
      <c r="C124" s="4" t="s">
        <v>312</v>
      </c>
      <c r="D124" s="4" t="n">
        <v>626444.32</v>
      </c>
      <c r="E124" s="4" t="n">
        <v>0.1435</v>
      </c>
      <c r="F124" s="4" t="n">
        <v>536577.62</v>
      </c>
      <c r="G124" s="4" t="n">
        <v>413537.12</v>
      </c>
      <c r="H124" s="4" t="n">
        <v>123040.5</v>
      </c>
      <c r="I124" s="4" t="n">
        <v>0.2293</v>
      </c>
      <c r="J124" s="4" t="n">
        <v>0.957</v>
      </c>
      <c r="K124" s="4" t="n">
        <v>51</v>
      </c>
      <c r="L124" s="4" t="n">
        <v>120</v>
      </c>
      <c r="M124" s="4" t="n">
        <v>2</v>
      </c>
      <c r="N124" s="4" t="n">
        <v>0</v>
      </c>
    </row>
    <row r="125" customFormat="false" ht="15" hidden="false" customHeight="false" outlineLevel="0" collapsed="false">
      <c r="A125" s="4" t="s">
        <v>467</v>
      </c>
      <c r="B125" s="4" t="s">
        <v>244</v>
      </c>
      <c r="C125" s="4" t="s">
        <v>318</v>
      </c>
      <c r="D125" s="4" t="n">
        <v>2716069.52</v>
      </c>
      <c r="E125" s="4" t="n">
        <v>0.1508</v>
      </c>
      <c r="F125" s="4" t="n">
        <v>2306494.56</v>
      </c>
      <c r="G125" s="4" t="n">
        <v>2149281.28</v>
      </c>
      <c r="H125" s="4" t="n">
        <v>157213.28</v>
      </c>
      <c r="I125" s="4" t="n">
        <v>0.0682</v>
      </c>
      <c r="J125" s="4" t="n">
        <v>0.952</v>
      </c>
      <c r="K125" s="4" t="n">
        <v>23</v>
      </c>
      <c r="L125" s="4" t="n">
        <v>30</v>
      </c>
      <c r="M125" s="4" t="n">
        <v>0</v>
      </c>
      <c r="N125" s="4" t="n">
        <v>0</v>
      </c>
    </row>
    <row r="126" customFormat="false" ht="15" hidden="false" customHeight="false" outlineLevel="0" collapsed="false">
      <c r="A126" s="4" t="s">
        <v>468</v>
      </c>
      <c r="B126" s="4" t="s">
        <v>126</v>
      </c>
      <c r="C126" s="4" t="s">
        <v>276</v>
      </c>
      <c r="D126" s="4" t="n">
        <v>48628</v>
      </c>
      <c r="E126" s="4" t="n">
        <v>0.0629</v>
      </c>
      <c r="F126" s="4" t="n">
        <v>45571.13</v>
      </c>
      <c r="G126" s="4" t="n">
        <v>32284.33</v>
      </c>
      <c r="H126" s="4" t="n">
        <v>13286.8</v>
      </c>
      <c r="I126" s="4" t="n">
        <v>0.2916</v>
      </c>
      <c r="J126" s="4" t="n">
        <v>0.938</v>
      </c>
      <c r="K126" s="4" t="n">
        <v>51</v>
      </c>
      <c r="L126" s="4" t="n">
        <v>60</v>
      </c>
      <c r="M126" s="4" t="n">
        <v>8</v>
      </c>
      <c r="N126" s="4" t="n">
        <v>0</v>
      </c>
    </row>
    <row r="127" customFormat="false" ht="15" hidden="false" customHeight="false" outlineLevel="0" collapsed="false">
      <c r="A127" s="4" t="s">
        <v>469</v>
      </c>
      <c r="B127" s="4" t="s">
        <v>98</v>
      </c>
      <c r="C127" s="4" t="s">
        <v>287</v>
      </c>
      <c r="D127" s="4" t="n">
        <v>102995.8</v>
      </c>
      <c r="E127" s="4" t="n">
        <v>0.0673</v>
      </c>
      <c r="F127" s="4" t="n">
        <v>96060.23</v>
      </c>
      <c r="G127" s="4" t="n">
        <v>91414.2</v>
      </c>
      <c r="H127" s="4" t="n">
        <v>4646.03</v>
      </c>
      <c r="I127" s="4" t="n">
        <v>0.0484</v>
      </c>
      <c r="J127" s="4" t="n">
        <v>1.026</v>
      </c>
      <c r="K127" s="4" t="n">
        <v>71</v>
      </c>
      <c r="L127" s="4" t="n">
        <v>90</v>
      </c>
      <c r="M127" s="4" t="n">
        <v>1</v>
      </c>
      <c r="N127" s="4" t="n">
        <v>0</v>
      </c>
    </row>
    <row r="128" customFormat="false" ht="15" hidden="false" customHeight="false" outlineLevel="0" collapsed="false">
      <c r="A128" s="4" t="s">
        <v>470</v>
      </c>
      <c r="B128" s="4" t="s">
        <v>176</v>
      </c>
      <c r="C128" s="4" t="s">
        <v>310</v>
      </c>
      <c r="D128" s="4" t="n">
        <v>51479.55</v>
      </c>
      <c r="E128" s="4" t="n">
        <v>0.075</v>
      </c>
      <c r="F128" s="4" t="n">
        <v>47618.76</v>
      </c>
      <c r="G128" s="4" t="n">
        <v>36498.21</v>
      </c>
      <c r="H128" s="4" t="n">
        <v>11120.55</v>
      </c>
      <c r="I128" s="4" t="n">
        <v>0.2335</v>
      </c>
      <c r="J128" s="4" t="n">
        <v>1.145</v>
      </c>
      <c r="K128" s="4" t="n">
        <v>42</v>
      </c>
      <c r="L128" s="4" t="n">
        <v>90</v>
      </c>
      <c r="M128" s="4" t="n">
        <v>5</v>
      </c>
      <c r="N128" s="4" t="n">
        <v>1</v>
      </c>
    </row>
    <row r="129" customFormat="false" ht="15" hidden="false" customHeight="false" outlineLevel="0" collapsed="false">
      <c r="A129" s="4" t="s">
        <v>471</v>
      </c>
      <c r="B129" s="4" t="s">
        <v>192</v>
      </c>
      <c r="C129" s="4" t="s">
        <v>320</v>
      </c>
      <c r="D129" s="4" t="n">
        <v>121262.61</v>
      </c>
      <c r="E129" s="4" t="n">
        <v>0.1004</v>
      </c>
      <c r="F129" s="4" t="n">
        <v>109093.27</v>
      </c>
      <c r="G129" s="4" t="n">
        <v>85897.11</v>
      </c>
      <c r="H129" s="4" t="n">
        <v>23196.16</v>
      </c>
      <c r="I129" s="4" t="n">
        <v>0.2126</v>
      </c>
      <c r="J129" s="4" t="n">
        <v>1.068</v>
      </c>
      <c r="K129" s="4" t="n">
        <v>87</v>
      </c>
      <c r="L129" s="4" t="n">
        <v>30</v>
      </c>
      <c r="M129" s="4" t="n">
        <v>7</v>
      </c>
      <c r="N129" s="4" t="n">
        <v>1</v>
      </c>
    </row>
    <row r="130" customFormat="false" ht="15" hidden="false" customHeight="false" outlineLevel="0" collapsed="false">
      <c r="A130" s="4" t="s">
        <v>472</v>
      </c>
      <c r="B130" s="4" t="s">
        <v>57</v>
      </c>
      <c r="C130" s="4" t="s">
        <v>330</v>
      </c>
      <c r="D130" s="4" t="n">
        <v>32256.72</v>
      </c>
      <c r="E130" s="4" t="n">
        <v>0.0868</v>
      </c>
      <c r="F130" s="4" t="n">
        <v>29456.91</v>
      </c>
      <c r="G130" s="4" t="n">
        <v>23527.23</v>
      </c>
      <c r="H130" s="4" t="n">
        <v>5929.68</v>
      </c>
      <c r="I130" s="4" t="n">
        <v>0.2013</v>
      </c>
      <c r="J130" s="4" t="n">
        <v>0.939</v>
      </c>
      <c r="K130" s="4" t="n">
        <v>71</v>
      </c>
      <c r="L130" s="4" t="n">
        <v>45</v>
      </c>
      <c r="M130" s="4" t="n">
        <v>1</v>
      </c>
      <c r="N130" s="4" t="n">
        <v>0</v>
      </c>
    </row>
    <row r="131" customFormat="false" ht="15" hidden="false" customHeight="false" outlineLevel="0" collapsed="false">
      <c r="A131" s="4" t="s">
        <v>473</v>
      </c>
      <c r="B131" s="4" t="s">
        <v>88</v>
      </c>
      <c r="C131" s="4" t="s">
        <v>290</v>
      </c>
      <c r="D131" s="4" t="n">
        <v>9498.94</v>
      </c>
      <c r="E131" s="4" t="n">
        <v>0.1491</v>
      </c>
      <c r="F131" s="4" t="n">
        <v>8082.71</v>
      </c>
      <c r="G131" s="4" t="n">
        <v>6855</v>
      </c>
      <c r="H131" s="4" t="n">
        <v>1227.71</v>
      </c>
      <c r="I131" s="4" t="n">
        <v>0.1519</v>
      </c>
      <c r="J131" s="4" t="n">
        <v>1.044</v>
      </c>
      <c r="K131" s="4" t="n">
        <v>64</v>
      </c>
      <c r="L131" s="4" t="n">
        <v>45</v>
      </c>
      <c r="M131" s="4" t="n">
        <v>9</v>
      </c>
      <c r="N131" s="4" t="n">
        <v>0</v>
      </c>
    </row>
    <row r="132" customFormat="false" ht="15" hidden="false" customHeight="false" outlineLevel="0" collapsed="false">
      <c r="A132" s="4" t="s">
        <v>474</v>
      </c>
      <c r="B132" s="4" t="s">
        <v>176</v>
      </c>
      <c r="C132" s="4" t="s">
        <v>312</v>
      </c>
      <c r="D132" s="4" t="n">
        <v>156611.08</v>
      </c>
      <c r="E132" s="4" t="n">
        <v>0.1069</v>
      </c>
      <c r="F132" s="4" t="n">
        <v>139863.12</v>
      </c>
      <c r="G132" s="4" t="n">
        <v>103384.28</v>
      </c>
      <c r="H132" s="4" t="n">
        <v>36478.84</v>
      </c>
      <c r="I132" s="4" t="n">
        <v>0.2608</v>
      </c>
      <c r="J132" s="4" t="n">
        <v>1.072</v>
      </c>
      <c r="K132" s="4" t="n">
        <v>53</v>
      </c>
      <c r="L132" s="4" t="n">
        <v>30</v>
      </c>
      <c r="M132" s="4" t="n">
        <v>14</v>
      </c>
      <c r="N132" s="4" t="n">
        <v>0</v>
      </c>
    </row>
    <row r="133" customFormat="false" ht="15" hidden="false" customHeight="false" outlineLevel="0" collapsed="false">
      <c r="A133" s="4" t="s">
        <v>475</v>
      </c>
      <c r="B133" s="4" t="s">
        <v>202</v>
      </c>
      <c r="C133" s="4" t="s">
        <v>271</v>
      </c>
      <c r="D133" s="4" t="n">
        <v>3435820.15</v>
      </c>
      <c r="E133" s="4" t="n">
        <v>0.1072</v>
      </c>
      <c r="F133" s="4" t="n">
        <v>3067544.89</v>
      </c>
      <c r="G133" s="4" t="n">
        <v>2647513.8</v>
      </c>
      <c r="H133" s="4" t="n">
        <v>420031.09</v>
      </c>
      <c r="I133" s="4" t="n">
        <v>0.1369</v>
      </c>
      <c r="J133" s="4" t="n">
        <v>0.953</v>
      </c>
      <c r="K133" s="4" t="n">
        <v>60</v>
      </c>
      <c r="L133" s="4" t="n">
        <v>90</v>
      </c>
      <c r="M133" s="4" t="n">
        <v>8</v>
      </c>
      <c r="N133" s="4" t="n">
        <v>0</v>
      </c>
    </row>
    <row r="134" customFormat="false" ht="15" hidden="false" customHeight="false" outlineLevel="0" collapsed="false">
      <c r="A134" s="4" t="s">
        <v>476</v>
      </c>
      <c r="B134" s="4" t="s">
        <v>106</v>
      </c>
      <c r="C134" s="4" t="s">
        <v>312</v>
      </c>
      <c r="D134" s="4" t="n">
        <v>783055.4</v>
      </c>
      <c r="E134" s="4" t="n">
        <v>0.0648</v>
      </c>
      <c r="F134" s="4" t="n">
        <v>732305.46</v>
      </c>
      <c r="G134" s="4" t="n">
        <v>516921.4</v>
      </c>
      <c r="H134" s="4" t="n">
        <v>215384.06</v>
      </c>
      <c r="I134" s="4" t="n">
        <v>0.2941</v>
      </c>
      <c r="J134" s="4" t="n">
        <v>0.856</v>
      </c>
      <c r="K134" s="4" t="n">
        <v>97</v>
      </c>
      <c r="L134" s="4" t="n">
        <v>30</v>
      </c>
      <c r="M134" s="4" t="n">
        <v>4</v>
      </c>
      <c r="N134" s="4" t="n">
        <v>1</v>
      </c>
    </row>
    <row r="135" customFormat="false" ht="15" hidden="false" customHeight="false" outlineLevel="0" collapsed="false">
      <c r="A135" s="4" t="s">
        <v>477</v>
      </c>
      <c r="B135" s="4" t="s">
        <v>224</v>
      </c>
      <c r="C135" s="4" t="s">
        <v>324</v>
      </c>
      <c r="D135" s="4" t="n">
        <v>72206.62</v>
      </c>
      <c r="E135" s="4" t="n">
        <v>0.0709</v>
      </c>
      <c r="F135" s="4" t="n">
        <v>67087.11</v>
      </c>
      <c r="G135" s="4" t="n">
        <v>53064.68</v>
      </c>
      <c r="H135" s="4" t="n">
        <v>14022.43</v>
      </c>
      <c r="I135" s="4" t="n">
        <v>0.209</v>
      </c>
      <c r="J135" s="4" t="n">
        <v>1.092</v>
      </c>
      <c r="K135" s="4" t="n">
        <v>70</v>
      </c>
      <c r="L135" s="4" t="n">
        <v>90</v>
      </c>
      <c r="M135" s="4" t="n">
        <v>6</v>
      </c>
      <c r="N135" s="4" t="n">
        <v>0</v>
      </c>
    </row>
    <row r="136" customFormat="false" ht="15" hidden="false" customHeight="false" outlineLevel="0" collapsed="false">
      <c r="A136" s="4" t="s">
        <v>478</v>
      </c>
      <c r="B136" s="4" t="s">
        <v>226</v>
      </c>
      <c r="C136" s="4" t="s">
        <v>274</v>
      </c>
      <c r="D136" s="4" t="n">
        <v>1774866.6</v>
      </c>
      <c r="E136" s="4" t="n">
        <v>0.0547</v>
      </c>
      <c r="F136" s="4" t="n">
        <v>1677723.08</v>
      </c>
      <c r="G136" s="4" t="n">
        <v>1396444.3</v>
      </c>
      <c r="H136" s="4" t="n">
        <v>281278.78</v>
      </c>
      <c r="I136" s="4" t="n">
        <v>0.1677</v>
      </c>
      <c r="J136" s="4" t="n">
        <v>0.87</v>
      </c>
      <c r="K136" s="4" t="n">
        <v>72</v>
      </c>
      <c r="L136" s="4" t="n">
        <v>120</v>
      </c>
      <c r="M136" s="4" t="n">
        <v>7</v>
      </c>
      <c r="N136" s="4" t="n">
        <v>1</v>
      </c>
    </row>
    <row r="137" customFormat="false" ht="15" hidden="false" customHeight="false" outlineLevel="0" collapsed="false">
      <c r="A137" s="4" t="s">
        <v>479</v>
      </c>
      <c r="B137" s="4" t="s">
        <v>112</v>
      </c>
      <c r="C137" s="4" t="s">
        <v>322</v>
      </c>
      <c r="D137" s="4" t="n">
        <v>198621.08</v>
      </c>
      <c r="E137" s="4" t="n">
        <v>0.1134</v>
      </c>
      <c r="F137" s="4" t="n">
        <v>176102.59</v>
      </c>
      <c r="G137" s="4" t="n">
        <v>155721.2</v>
      </c>
      <c r="H137" s="4" t="n">
        <v>20381.39</v>
      </c>
      <c r="I137" s="4" t="n">
        <v>0.1157</v>
      </c>
      <c r="J137" s="4" t="n">
        <v>0.996</v>
      </c>
      <c r="K137" s="4" t="n">
        <v>50</v>
      </c>
      <c r="L137" s="4" t="n">
        <v>30</v>
      </c>
      <c r="M137" s="4" t="n">
        <v>16</v>
      </c>
      <c r="N137" s="4" t="n">
        <v>1</v>
      </c>
    </row>
    <row r="138" customFormat="false" ht="15" hidden="false" customHeight="false" outlineLevel="0" collapsed="false">
      <c r="A138" s="4" t="s">
        <v>480</v>
      </c>
      <c r="B138" s="4" t="s">
        <v>210</v>
      </c>
      <c r="C138" s="4" t="s">
        <v>310</v>
      </c>
      <c r="D138" s="4" t="n">
        <v>17159.85</v>
      </c>
      <c r="E138" s="4" t="n">
        <v>0.0731</v>
      </c>
      <c r="F138" s="4" t="n">
        <v>15905.67</v>
      </c>
      <c r="G138" s="4" t="n">
        <v>12166.07</v>
      </c>
      <c r="H138" s="4" t="n">
        <v>3739.6</v>
      </c>
      <c r="I138" s="4" t="n">
        <v>0.2351</v>
      </c>
      <c r="J138" s="4" t="n">
        <v>0.965</v>
      </c>
      <c r="K138" s="4" t="n">
        <v>18</v>
      </c>
      <c r="L138" s="4" t="n">
        <v>90</v>
      </c>
      <c r="M138" s="4" t="n">
        <v>0</v>
      </c>
      <c r="N138" s="4" t="n">
        <v>1</v>
      </c>
    </row>
    <row r="139" customFormat="false" ht="15" hidden="false" customHeight="false" outlineLevel="0" collapsed="false">
      <c r="A139" s="4" t="s">
        <v>481</v>
      </c>
      <c r="B139" s="4" t="s">
        <v>124</v>
      </c>
      <c r="C139" s="4" t="s">
        <v>287</v>
      </c>
      <c r="D139" s="4" t="n">
        <v>20599.16</v>
      </c>
      <c r="E139" s="4" t="n">
        <v>0.1488</v>
      </c>
      <c r="F139" s="4" t="n">
        <v>17535.03</v>
      </c>
      <c r="G139" s="4" t="n">
        <v>18282.84</v>
      </c>
      <c r="H139" s="4" t="n">
        <v>-747.81</v>
      </c>
      <c r="I139" s="4" t="n">
        <v>-0.0426</v>
      </c>
      <c r="J139" s="4" t="n">
        <v>1.119</v>
      </c>
      <c r="K139" s="4" t="n">
        <v>67</v>
      </c>
      <c r="L139" s="4" t="n">
        <v>90</v>
      </c>
      <c r="M139" s="4" t="n">
        <v>13</v>
      </c>
      <c r="N139" s="4" t="n">
        <v>1</v>
      </c>
    </row>
    <row r="140" customFormat="false" ht="15" hidden="false" customHeight="false" outlineLevel="0" collapsed="false">
      <c r="A140" s="4" t="s">
        <v>482</v>
      </c>
      <c r="B140" s="4" t="s">
        <v>170</v>
      </c>
      <c r="C140" s="4" t="s">
        <v>326</v>
      </c>
      <c r="D140" s="4" t="n">
        <v>424311.6</v>
      </c>
      <c r="E140" s="4" t="n">
        <v>0.1171</v>
      </c>
      <c r="F140" s="4" t="n">
        <v>374638.61</v>
      </c>
      <c r="G140" s="4" t="n">
        <v>273627.4</v>
      </c>
      <c r="H140" s="4" t="n">
        <v>101011.21</v>
      </c>
      <c r="I140" s="4" t="n">
        <v>0.2696</v>
      </c>
      <c r="J140" s="4" t="n">
        <v>1.035</v>
      </c>
      <c r="K140" s="4" t="n">
        <v>23</v>
      </c>
      <c r="L140" s="4" t="n">
        <v>30</v>
      </c>
      <c r="M140" s="4" t="n">
        <v>13</v>
      </c>
      <c r="N140" s="4" t="n">
        <v>1</v>
      </c>
    </row>
    <row r="141" customFormat="false" ht="15" hidden="false" customHeight="false" outlineLevel="0" collapsed="false">
      <c r="A141" s="4" t="s">
        <v>483</v>
      </c>
      <c r="B141" s="4" t="s">
        <v>168</v>
      </c>
      <c r="C141" s="4" t="s">
        <v>306</v>
      </c>
      <c r="D141" s="4" t="n">
        <v>281158.05</v>
      </c>
      <c r="E141" s="4" t="n">
        <v>0.0696</v>
      </c>
      <c r="F141" s="4" t="n">
        <v>261576.59</v>
      </c>
      <c r="G141" s="4" t="n">
        <v>195317.94</v>
      </c>
      <c r="H141" s="4" t="n">
        <v>66258.65</v>
      </c>
      <c r="I141" s="4" t="n">
        <v>0.2533</v>
      </c>
      <c r="J141" s="4" t="n">
        <v>0.994</v>
      </c>
      <c r="K141" s="4" t="n">
        <v>67</v>
      </c>
      <c r="L141" s="4" t="n">
        <v>45</v>
      </c>
      <c r="M141" s="4" t="n">
        <v>0</v>
      </c>
      <c r="N141" s="4" t="n">
        <v>1</v>
      </c>
    </row>
    <row r="142" customFormat="false" ht="15" hidden="false" customHeight="false" outlineLevel="0" collapsed="false">
      <c r="A142" s="4" t="s">
        <v>484</v>
      </c>
      <c r="B142" s="4" t="s">
        <v>102</v>
      </c>
      <c r="C142" s="4" t="s">
        <v>320</v>
      </c>
      <c r="D142" s="4" t="n">
        <v>80841.74</v>
      </c>
      <c r="E142" s="4" t="n">
        <v>0.1344</v>
      </c>
      <c r="F142" s="4" t="n">
        <v>69976.61</v>
      </c>
      <c r="G142" s="4" t="n">
        <v>57264.74</v>
      </c>
      <c r="H142" s="4" t="n">
        <v>12711.87</v>
      </c>
      <c r="I142" s="4" t="n">
        <v>0.1817</v>
      </c>
      <c r="J142" s="4" t="n">
        <v>0.993</v>
      </c>
      <c r="K142" s="4" t="n">
        <v>66</v>
      </c>
      <c r="L142" s="4" t="n">
        <v>90</v>
      </c>
      <c r="M142" s="4" t="n">
        <v>11</v>
      </c>
      <c r="N142" s="4" t="n">
        <v>0</v>
      </c>
    </row>
    <row r="143" customFormat="false" ht="15" hidden="false" customHeight="false" outlineLevel="0" collapsed="false">
      <c r="A143" s="4" t="s">
        <v>485</v>
      </c>
      <c r="B143" s="4" t="s">
        <v>92</v>
      </c>
      <c r="C143" s="4" t="s">
        <v>292</v>
      </c>
      <c r="D143" s="4" t="n">
        <v>401272.72</v>
      </c>
      <c r="E143" s="4" t="n">
        <v>0.124</v>
      </c>
      <c r="F143" s="4" t="n">
        <v>351526.68</v>
      </c>
      <c r="G143" s="4" t="n">
        <v>296486.72</v>
      </c>
      <c r="H143" s="4" t="n">
        <v>55039.96</v>
      </c>
      <c r="I143" s="4" t="n">
        <v>0.1566</v>
      </c>
      <c r="J143" s="4" t="n">
        <v>1.05</v>
      </c>
      <c r="K143" s="4" t="n">
        <v>43</v>
      </c>
      <c r="L143" s="4" t="n">
        <v>120</v>
      </c>
      <c r="M143" s="4" t="n">
        <v>8</v>
      </c>
      <c r="N143" s="4" t="n">
        <v>0</v>
      </c>
    </row>
    <row r="144" customFormat="false" ht="15" hidden="false" customHeight="false" outlineLevel="0" collapsed="false">
      <c r="A144" s="4" t="s">
        <v>486</v>
      </c>
      <c r="B144" s="4" t="s">
        <v>132</v>
      </c>
      <c r="C144" s="4" t="s">
        <v>316</v>
      </c>
      <c r="D144" s="4" t="n">
        <v>358450.1</v>
      </c>
      <c r="E144" s="4" t="n">
        <v>0.1419</v>
      </c>
      <c r="F144" s="4" t="n">
        <v>307588.12</v>
      </c>
      <c r="G144" s="4" t="n">
        <v>228227.78</v>
      </c>
      <c r="H144" s="4" t="n">
        <v>79360.34</v>
      </c>
      <c r="I144" s="4" t="n">
        <v>0.258</v>
      </c>
      <c r="J144" s="4" t="n">
        <v>1.023</v>
      </c>
      <c r="K144" s="4" t="n">
        <v>21</v>
      </c>
      <c r="L144" s="4" t="n">
        <v>30</v>
      </c>
      <c r="M144" s="4" t="n">
        <v>4</v>
      </c>
      <c r="N144" s="4" t="n">
        <v>0</v>
      </c>
    </row>
    <row r="145" customFormat="false" ht="15" hidden="false" customHeight="false" outlineLevel="0" collapsed="false">
      <c r="A145" s="4" t="s">
        <v>487</v>
      </c>
      <c r="B145" s="4" t="s">
        <v>144</v>
      </c>
      <c r="C145" s="4" t="s">
        <v>312</v>
      </c>
      <c r="D145" s="4" t="n">
        <v>313222.16</v>
      </c>
      <c r="E145" s="4" t="n">
        <v>0.0977</v>
      </c>
      <c r="F145" s="4" t="n">
        <v>282609.29</v>
      </c>
      <c r="G145" s="4" t="n">
        <v>206768.56</v>
      </c>
      <c r="H145" s="4" t="n">
        <v>75840.73</v>
      </c>
      <c r="I145" s="4" t="n">
        <v>0.2684</v>
      </c>
      <c r="J145" s="4" t="n">
        <v>1.094</v>
      </c>
      <c r="K145" s="4" t="n">
        <v>42</v>
      </c>
      <c r="L145" s="4" t="n">
        <v>90</v>
      </c>
      <c r="M145" s="4" t="n">
        <v>0</v>
      </c>
      <c r="N145" s="4" t="n">
        <v>1</v>
      </c>
    </row>
    <row r="146" customFormat="false" ht="15" hidden="false" customHeight="false" outlineLevel="0" collapsed="false">
      <c r="A146" s="4" t="s">
        <v>488</v>
      </c>
      <c r="B146" s="4" t="s">
        <v>200</v>
      </c>
      <c r="C146" s="4" t="s">
        <v>306</v>
      </c>
      <c r="D146" s="4" t="n">
        <v>187438.7</v>
      </c>
      <c r="E146" s="4" t="n">
        <v>0.1242</v>
      </c>
      <c r="F146" s="4" t="n">
        <v>164161.43</v>
      </c>
      <c r="G146" s="4" t="n">
        <v>130211.96</v>
      </c>
      <c r="H146" s="4" t="n">
        <v>33949.47</v>
      </c>
      <c r="I146" s="4" t="n">
        <v>0.2068</v>
      </c>
      <c r="J146" s="4" t="n">
        <v>0.952</v>
      </c>
      <c r="K146" s="4" t="n">
        <v>52</v>
      </c>
      <c r="L146" s="4" t="n">
        <v>45</v>
      </c>
      <c r="M146" s="4" t="n">
        <v>3</v>
      </c>
      <c r="N146" s="4" t="n">
        <v>1</v>
      </c>
    </row>
    <row r="147" customFormat="false" ht="15" hidden="false" customHeight="false" outlineLevel="0" collapsed="false">
      <c r="A147" s="4" t="s">
        <v>489</v>
      </c>
      <c r="B147" s="4" t="s">
        <v>146</v>
      </c>
      <c r="C147" s="4" t="s">
        <v>274</v>
      </c>
      <c r="D147" s="4" t="n">
        <v>1064919.96</v>
      </c>
      <c r="E147" s="4" t="n">
        <v>0.0534</v>
      </c>
      <c r="F147" s="4" t="n">
        <v>1008012.24</v>
      </c>
      <c r="G147" s="4" t="n">
        <v>837866.58</v>
      </c>
      <c r="H147" s="4" t="n">
        <v>170145.66</v>
      </c>
      <c r="I147" s="4" t="n">
        <v>0.1688</v>
      </c>
      <c r="J147" s="4" t="n">
        <v>1.133</v>
      </c>
      <c r="K147" s="4" t="n">
        <v>46</v>
      </c>
      <c r="L147" s="4" t="n">
        <v>90</v>
      </c>
      <c r="M147" s="4" t="n">
        <v>8</v>
      </c>
      <c r="N147" s="4" t="n">
        <v>1</v>
      </c>
    </row>
    <row r="148" customFormat="false" ht="15" hidden="false" customHeight="false" outlineLevel="0" collapsed="false">
      <c r="A148" s="4" t="s">
        <v>490</v>
      </c>
      <c r="B148" s="4" t="s">
        <v>69</v>
      </c>
      <c r="C148" s="4" t="s">
        <v>306</v>
      </c>
      <c r="D148" s="4" t="n">
        <v>374877.4</v>
      </c>
      <c r="E148" s="4" t="n">
        <v>0.1612</v>
      </c>
      <c r="F148" s="4" t="n">
        <v>314464.53</v>
      </c>
      <c r="G148" s="4" t="n">
        <v>260423.92</v>
      </c>
      <c r="H148" s="4" t="n">
        <v>54040.61</v>
      </c>
      <c r="I148" s="4" t="n">
        <v>0.1718</v>
      </c>
      <c r="J148" s="4" t="n">
        <v>1.117</v>
      </c>
      <c r="K148" s="4" t="n">
        <v>43</v>
      </c>
      <c r="L148" s="4" t="n">
        <v>30</v>
      </c>
      <c r="M148" s="4" t="n">
        <v>7</v>
      </c>
      <c r="N148" s="4" t="n">
        <v>0</v>
      </c>
    </row>
    <row r="149" customFormat="false" ht="15" hidden="false" customHeight="false" outlineLevel="0" collapsed="false">
      <c r="A149" s="4" t="s">
        <v>491</v>
      </c>
      <c r="B149" s="4" t="s">
        <v>110</v>
      </c>
      <c r="C149" s="4" t="s">
        <v>294</v>
      </c>
      <c r="D149" s="4" t="n">
        <v>1847011.88</v>
      </c>
      <c r="E149" s="4" t="n">
        <v>0.0893</v>
      </c>
      <c r="F149" s="4" t="n">
        <v>1682136.25</v>
      </c>
      <c r="G149" s="4" t="n">
        <v>1314561.08</v>
      </c>
      <c r="H149" s="4" t="n">
        <v>367575.17</v>
      </c>
      <c r="I149" s="4" t="n">
        <v>0.2185</v>
      </c>
      <c r="J149" s="4" t="n">
        <v>1.091</v>
      </c>
      <c r="K149" s="4" t="n">
        <v>84</v>
      </c>
      <c r="L149" s="4" t="n">
        <v>30</v>
      </c>
      <c r="M149" s="4" t="n">
        <v>4</v>
      </c>
      <c r="N149" s="4" t="n">
        <v>0</v>
      </c>
    </row>
    <row r="150" customFormat="false" ht="15" hidden="false" customHeight="false" outlineLevel="0" collapsed="false">
      <c r="A150" s="4" t="s">
        <v>492</v>
      </c>
      <c r="B150" s="4" t="s">
        <v>224</v>
      </c>
      <c r="C150" s="4" t="s">
        <v>312</v>
      </c>
      <c r="D150" s="4" t="n">
        <v>626444.32</v>
      </c>
      <c r="E150" s="4" t="n">
        <v>0.0936</v>
      </c>
      <c r="F150" s="4" t="n">
        <v>567806.2</v>
      </c>
      <c r="G150" s="4" t="n">
        <v>413537.12</v>
      </c>
      <c r="H150" s="4" t="n">
        <v>154269.08</v>
      </c>
      <c r="I150" s="4" t="n">
        <v>0.2717</v>
      </c>
      <c r="J150" s="4" t="n">
        <v>0.922</v>
      </c>
      <c r="K150" s="4" t="n">
        <v>40</v>
      </c>
      <c r="L150" s="4" t="n">
        <v>45</v>
      </c>
      <c r="M150" s="4" t="n">
        <v>5</v>
      </c>
      <c r="N150" s="4" t="n">
        <v>1</v>
      </c>
    </row>
    <row r="151" customFormat="false" ht="15" hidden="false" customHeight="false" outlineLevel="0" collapsed="false">
      <c r="A151" s="4" t="s">
        <v>493</v>
      </c>
      <c r="B151" s="4" t="s">
        <v>160</v>
      </c>
      <c r="C151" s="4" t="s">
        <v>292</v>
      </c>
      <c r="D151" s="4" t="n">
        <v>100318.18</v>
      </c>
      <c r="E151" s="4" t="n">
        <v>0.0931</v>
      </c>
      <c r="F151" s="4" t="n">
        <v>90982.54</v>
      </c>
      <c r="G151" s="4" t="n">
        <v>74121.68</v>
      </c>
      <c r="H151" s="4" t="n">
        <v>16860.86</v>
      </c>
      <c r="I151" s="4" t="n">
        <v>0.1853</v>
      </c>
      <c r="J151" s="4" t="n">
        <v>1.191</v>
      </c>
      <c r="K151" s="4" t="n">
        <v>38</v>
      </c>
      <c r="L151" s="4" t="n">
        <v>30</v>
      </c>
      <c r="M151" s="4" t="n">
        <v>6</v>
      </c>
      <c r="N151" s="4" t="n">
        <v>0</v>
      </c>
    </row>
    <row r="152" customFormat="false" ht="15" hidden="false" customHeight="false" outlineLevel="0" collapsed="false">
      <c r="A152" s="4" t="s">
        <v>494</v>
      </c>
      <c r="B152" s="4" t="s">
        <v>246</v>
      </c>
      <c r="C152" s="4" t="s">
        <v>281</v>
      </c>
      <c r="D152" s="4" t="n">
        <v>39756.66</v>
      </c>
      <c r="E152" s="4" t="n">
        <v>0.0567</v>
      </c>
      <c r="F152" s="4" t="n">
        <v>37502.29</v>
      </c>
      <c r="G152" s="4" t="n">
        <v>31655.24</v>
      </c>
      <c r="H152" s="4" t="n">
        <v>5847.05</v>
      </c>
      <c r="I152" s="4" t="n">
        <v>0.1559</v>
      </c>
      <c r="J152" s="4" t="n">
        <v>1.021</v>
      </c>
      <c r="K152" s="4" t="n">
        <v>40</v>
      </c>
      <c r="L152" s="4" t="n">
        <v>45</v>
      </c>
      <c r="M152" s="4" t="n">
        <v>7</v>
      </c>
      <c r="N152" s="4" t="n">
        <v>1</v>
      </c>
    </row>
    <row r="153" customFormat="false" ht="15" hidden="false" customHeight="false" outlineLevel="0" collapsed="false">
      <c r="A153" s="4" t="s">
        <v>495</v>
      </c>
      <c r="B153" s="4" t="s">
        <v>154</v>
      </c>
      <c r="C153" s="4" t="s">
        <v>312</v>
      </c>
      <c r="D153" s="4" t="n">
        <v>469833.24</v>
      </c>
      <c r="E153" s="4" t="n">
        <v>0.0581</v>
      </c>
      <c r="F153" s="4" t="n">
        <v>442521.43</v>
      </c>
      <c r="G153" s="4" t="n">
        <v>310152.84</v>
      </c>
      <c r="H153" s="4" t="n">
        <v>132368.59</v>
      </c>
      <c r="I153" s="4" t="n">
        <v>0.2991</v>
      </c>
      <c r="J153" s="4" t="n">
        <v>0.886</v>
      </c>
      <c r="K153" s="4" t="n">
        <v>41</v>
      </c>
      <c r="L153" s="4" t="n">
        <v>30</v>
      </c>
      <c r="M153" s="4" t="n">
        <v>0</v>
      </c>
      <c r="N153" s="4" t="n">
        <v>0</v>
      </c>
    </row>
    <row r="154" customFormat="false" ht="15" hidden="false" customHeight="false" outlineLevel="0" collapsed="false">
      <c r="A154" s="4" t="s">
        <v>496</v>
      </c>
      <c r="B154" s="4" t="s">
        <v>232</v>
      </c>
      <c r="C154" s="4" t="s">
        <v>265</v>
      </c>
      <c r="D154" s="4" t="n">
        <v>766662.8</v>
      </c>
      <c r="E154" s="4" t="n">
        <v>0.1236</v>
      </c>
      <c r="F154" s="4" t="n">
        <v>671939.21</v>
      </c>
      <c r="G154" s="4" t="n">
        <v>543009.32</v>
      </c>
      <c r="H154" s="4" t="n">
        <v>128929.89</v>
      </c>
      <c r="I154" s="4" t="n">
        <v>0.1919</v>
      </c>
      <c r="J154" s="4" t="n">
        <v>1.115</v>
      </c>
      <c r="K154" s="4" t="n">
        <v>50</v>
      </c>
      <c r="L154" s="4" t="n">
        <v>45</v>
      </c>
      <c r="M154" s="4" t="n">
        <v>5</v>
      </c>
      <c r="N154" s="4" t="n">
        <v>0</v>
      </c>
    </row>
    <row r="155" customFormat="false" ht="15" hidden="false" customHeight="false" outlineLevel="0" collapsed="false">
      <c r="A155" s="4" t="s">
        <v>497</v>
      </c>
      <c r="B155" s="4" t="s">
        <v>112</v>
      </c>
      <c r="C155" s="4" t="s">
        <v>284</v>
      </c>
      <c r="D155" s="4" t="n">
        <v>177892.44</v>
      </c>
      <c r="E155" s="4" t="n">
        <v>0.0994</v>
      </c>
      <c r="F155" s="4" t="n">
        <v>160204.07</v>
      </c>
      <c r="G155" s="4" t="n">
        <v>127223.36</v>
      </c>
      <c r="H155" s="4" t="n">
        <v>32980.71</v>
      </c>
      <c r="I155" s="4" t="n">
        <v>0.2059</v>
      </c>
      <c r="J155" s="4" t="n">
        <v>0.858</v>
      </c>
      <c r="K155" s="4" t="n">
        <v>69</v>
      </c>
      <c r="L155" s="4" t="n">
        <v>30</v>
      </c>
      <c r="M155" s="4" t="n">
        <v>4</v>
      </c>
      <c r="N155" s="4" t="n">
        <v>1</v>
      </c>
    </row>
    <row r="156" customFormat="false" ht="15" hidden="false" customHeight="false" outlineLevel="0" collapsed="false">
      <c r="A156" s="4" t="s">
        <v>498</v>
      </c>
      <c r="B156" s="4" t="s">
        <v>148</v>
      </c>
      <c r="C156" s="4" t="s">
        <v>318</v>
      </c>
      <c r="D156" s="4" t="n">
        <v>679017.38</v>
      </c>
      <c r="E156" s="4" t="n">
        <v>0.0616</v>
      </c>
      <c r="F156" s="4" t="n">
        <v>637218.12</v>
      </c>
      <c r="G156" s="4" t="n">
        <v>537320.32</v>
      </c>
      <c r="H156" s="4" t="n">
        <v>99897.8</v>
      </c>
      <c r="I156" s="4" t="n">
        <v>0.1568</v>
      </c>
      <c r="J156" s="4" t="n">
        <v>0.859</v>
      </c>
      <c r="K156" s="4" t="n">
        <v>45</v>
      </c>
      <c r="L156" s="4" t="n">
        <v>30</v>
      </c>
      <c r="M156" s="4" t="n">
        <v>0</v>
      </c>
      <c r="N156" s="4" t="n">
        <v>1</v>
      </c>
    </row>
    <row r="157" customFormat="false" ht="15" hidden="false" customHeight="false" outlineLevel="0" collapsed="false">
      <c r="A157" s="4" t="s">
        <v>499</v>
      </c>
      <c r="B157" s="4" t="s">
        <v>94</v>
      </c>
      <c r="C157" s="4" t="s">
        <v>274</v>
      </c>
      <c r="D157" s="4" t="n">
        <v>354973.32</v>
      </c>
      <c r="E157" s="4" t="n">
        <v>0.0678</v>
      </c>
      <c r="F157" s="4" t="n">
        <v>330894.06</v>
      </c>
      <c r="G157" s="4" t="n">
        <v>279288.86</v>
      </c>
      <c r="H157" s="4" t="n">
        <v>51605.2</v>
      </c>
      <c r="I157" s="4" t="n">
        <v>0.156</v>
      </c>
      <c r="J157" s="4" t="n">
        <v>0.971</v>
      </c>
      <c r="K157" s="4" t="n">
        <v>87</v>
      </c>
      <c r="L157" s="4" t="n">
        <v>60</v>
      </c>
      <c r="M157" s="4" t="n">
        <v>7</v>
      </c>
      <c r="N157" s="4" t="n">
        <v>1</v>
      </c>
    </row>
    <row r="158" customFormat="false" ht="15" hidden="false" customHeight="false" outlineLevel="0" collapsed="false">
      <c r="A158" s="4" t="s">
        <v>500</v>
      </c>
      <c r="B158" s="4" t="s">
        <v>140</v>
      </c>
      <c r="C158" s="4" t="s">
        <v>310</v>
      </c>
      <c r="D158" s="4" t="n">
        <v>68639.4</v>
      </c>
      <c r="E158" s="4" t="n">
        <v>0.0974</v>
      </c>
      <c r="F158" s="4" t="n">
        <v>61956.63</v>
      </c>
      <c r="G158" s="4" t="n">
        <v>48664.28</v>
      </c>
      <c r="H158" s="4" t="n">
        <v>13292.35</v>
      </c>
      <c r="I158" s="4" t="n">
        <v>0.2145</v>
      </c>
      <c r="J158" s="4" t="n">
        <v>0.911</v>
      </c>
      <c r="K158" s="4" t="n">
        <v>66</v>
      </c>
      <c r="L158" s="4" t="n">
        <v>120</v>
      </c>
      <c r="M158" s="4" t="n">
        <v>3</v>
      </c>
      <c r="N158" s="4" t="n">
        <v>1</v>
      </c>
    </row>
    <row r="159" customFormat="false" ht="15" hidden="false" customHeight="false" outlineLevel="0" collapsed="false">
      <c r="A159" s="4" t="s">
        <v>501</v>
      </c>
      <c r="B159" s="4" t="s">
        <v>236</v>
      </c>
      <c r="C159" s="4" t="s">
        <v>268</v>
      </c>
      <c r="D159" s="4" t="n">
        <v>2079575.15</v>
      </c>
      <c r="E159" s="4" t="n">
        <v>0</v>
      </c>
      <c r="F159" s="4" t="n">
        <v>2079575.15</v>
      </c>
      <c r="G159" s="4" t="n">
        <v>1655086.65</v>
      </c>
      <c r="H159" s="4" t="n">
        <v>424488.5</v>
      </c>
      <c r="I159" s="4" t="n">
        <v>0.2041</v>
      </c>
      <c r="J159" s="4" t="n">
        <v>1.024</v>
      </c>
      <c r="K159" s="4" t="n">
        <v>57</v>
      </c>
      <c r="L159" s="4" t="n">
        <v>90</v>
      </c>
      <c r="M159" s="4" t="n">
        <v>3</v>
      </c>
      <c r="N159" s="4" t="n">
        <v>0</v>
      </c>
    </row>
    <row r="160" customFormat="false" ht="15" hidden="false" customHeight="false" outlineLevel="0" collapsed="false">
      <c r="A160" s="4" t="s">
        <v>502</v>
      </c>
      <c r="B160" s="4" t="s">
        <v>174</v>
      </c>
      <c r="C160" s="4" t="s">
        <v>292</v>
      </c>
      <c r="D160" s="4" t="n">
        <v>401272.72</v>
      </c>
      <c r="E160" s="4" t="n">
        <v>0.0909</v>
      </c>
      <c r="F160" s="4" t="n">
        <v>364805.95</v>
      </c>
      <c r="G160" s="4" t="n">
        <v>296486.72</v>
      </c>
      <c r="H160" s="4" t="n">
        <v>68319.23</v>
      </c>
      <c r="I160" s="4" t="n">
        <v>0.1873</v>
      </c>
      <c r="J160" s="4" t="n">
        <v>1.009</v>
      </c>
      <c r="K160" s="4" t="n">
        <v>63</v>
      </c>
      <c r="L160" s="4" t="n">
        <v>30</v>
      </c>
      <c r="M160" s="4" t="n">
        <v>0</v>
      </c>
      <c r="N160" s="4" t="n">
        <v>0</v>
      </c>
    </row>
    <row r="161" customFormat="false" ht="15" hidden="false" customHeight="false" outlineLevel="0" collapsed="false">
      <c r="A161" s="4" t="s">
        <v>503</v>
      </c>
      <c r="B161" s="4" t="s">
        <v>182</v>
      </c>
      <c r="C161" s="4" t="s">
        <v>281</v>
      </c>
      <c r="D161" s="4" t="n">
        <v>39756.66</v>
      </c>
      <c r="E161" s="4" t="n">
        <v>0</v>
      </c>
      <c r="F161" s="4" t="n">
        <v>39756.66</v>
      </c>
      <c r="G161" s="4" t="n">
        <v>31655.24</v>
      </c>
      <c r="H161" s="4" t="n">
        <v>8101.42</v>
      </c>
      <c r="I161" s="4" t="n">
        <v>0.2038</v>
      </c>
      <c r="J161" s="4" t="n">
        <v>1.014</v>
      </c>
      <c r="K161" s="4" t="n">
        <v>48</v>
      </c>
      <c r="L161" s="4" t="n">
        <v>45</v>
      </c>
      <c r="M161" s="4" t="n">
        <v>0</v>
      </c>
      <c r="N161" s="4" t="n">
        <v>1</v>
      </c>
    </row>
    <row r="162" customFormat="false" ht="15" hidden="false" customHeight="false" outlineLevel="0" collapsed="false">
      <c r="A162" s="4" t="s">
        <v>504</v>
      </c>
      <c r="B162" s="4" t="s">
        <v>160</v>
      </c>
      <c r="C162" s="4" t="s">
        <v>322</v>
      </c>
      <c r="D162" s="4" t="n">
        <v>198621.08</v>
      </c>
      <c r="E162" s="4" t="n">
        <v>0.02</v>
      </c>
      <c r="F162" s="4" t="n">
        <v>194644.79</v>
      </c>
      <c r="G162" s="4" t="n">
        <v>155721.2</v>
      </c>
      <c r="H162" s="4" t="n">
        <v>38923.59</v>
      </c>
      <c r="I162" s="4" t="n">
        <v>0.2</v>
      </c>
      <c r="J162" s="4" t="n">
        <v>0.896</v>
      </c>
      <c r="K162" s="4" t="n">
        <v>94</v>
      </c>
      <c r="L162" s="4" t="n">
        <v>60</v>
      </c>
      <c r="M162" s="4" t="n">
        <v>4</v>
      </c>
      <c r="N162" s="4" t="n">
        <v>1</v>
      </c>
    </row>
    <row r="163" customFormat="false" ht="15" hidden="false" customHeight="false" outlineLevel="0" collapsed="false">
      <c r="A163" s="4" t="s">
        <v>505</v>
      </c>
      <c r="B163" s="4" t="s">
        <v>67</v>
      </c>
      <c r="C163" s="4" t="s">
        <v>304</v>
      </c>
      <c r="D163" s="4" t="n">
        <v>329663.8</v>
      </c>
      <c r="E163" s="4" t="n">
        <v>0.0892</v>
      </c>
      <c r="F163" s="4" t="n">
        <v>300243.79</v>
      </c>
      <c r="G163" s="4" t="n">
        <v>250728.4</v>
      </c>
      <c r="H163" s="4" t="n">
        <v>49515.39</v>
      </c>
      <c r="I163" s="4" t="n">
        <v>0.1649</v>
      </c>
      <c r="J163" s="4" t="n">
        <v>1.197</v>
      </c>
      <c r="K163" s="4" t="n">
        <v>87</v>
      </c>
      <c r="L163" s="4" t="n">
        <v>30</v>
      </c>
      <c r="M163" s="4" t="n">
        <v>9</v>
      </c>
      <c r="N163" s="4" t="n">
        <v>1</v>
      </c>
    </row>
    <row r="164" customFormat="false" ht="15" hidden="false" customHeight="false" outlineLevel="0" collapsed="false">
      <c r="A164" s="4" t="s">
        <v>506</v>
      </c>
      <c r="B164" s="4" t="s">
        <v>108</v>
      </c>
      <c r="C164" s="4" t="s">
        <v>284</v>
      </c>
      <c r="D164" s="4" t="n">
        <v>177892.44</v>
      </c>
      <c r="E164" s="4" t="n">
        <v>0.132</v>
      </c>
      <c r="F164" s="4" t="n">
        <v>154409.81</v>
      </c>
      <c r="G164" s="4" t="n">
        <v>127223.36</v>
      </c>
      <c r="H164" s="4" t="n">
        <v>27186.45</v>
      </c>
      <c r="I164" s="4" t="n">
        <v>0.1761</v>
      </c>
      <c r="J164" s="4" t="n">
        <v>1.084</v>
      </c>
      <c r="K164" s="4" t="n">
        <v>50</v>
      </c>
      <c r="L164" s="4" t="n">
        <v>30</v>
      </c>
      <c r="M164" s="4" t="n">
        <v>6</v>
      </c>
      <c r="N164" s="4" t="n">
        <v>1</v>
      </c>
    </row>
    <row r="165" customFormat="false" ht="15" hidden="false" customHeight="false" outlineLevel="0" collapsed="false">
      <c r="A165" s="4" t="s">
        <v>507</v>
      </c>
      <c r="B165" s="4" t="s">
        <v>118</v>
      </c>
      <c r="C165" s="4" t="s">
        <v>298</v>
      </c>
      <c r="D165" s="4" t="n">
        <v>891722.96</v>
      </c>
      <c r="E165" s="4" t="n">
        <v>0.008</v>
      </c>
      <c r="F165" s="4" t="n">
        <v>884547.79</v>
      </c>
      <c r="G165" s="4" t="n">
        <v>673274.35</v>
      </c>
      <c r="H165" s="4" t="n">
        <v>211273.44</v>
      </c>
      <c r="I165" s="4" t="n">
        <v>0.2388</v>
      </c>
      <c r="J165" s="4" t="n">
        <v>1.009</v>
      </c>
      <c r="K165" s="4" t="n">
        <v>81</v>
      </c>
      <c r="L165" s="4" t="n">
        <v>45</v>
      </c>
      <c r="M165" s="4" t="n">
        <v>7</v>
      </c>
      <c r="N165" s="4" t="n">
        <v>1</v>
      </c>
    </row>
    <row r="166" customFormat="false" ht="15" hidden="false" customHeight="false" outlineLevel="0" collapsed="false">
      <c r="A166" s="4" t="s">
        <v>508</v>
      </c>
      <c r="B166" s="4" t="s">
        <v>188</v>
      </c>
      <c r="C166" s="4" t="s">
        <v>312</v>
      </c>
      <c r="D166" s="4" t="n">
        <v>626444.32</v>
      </c>
      <c r="E166" s="4" t="n">
        <v>0.0633</v>
      </c>
      <c r="F166" s="4" t="n">
        <v>586804.97</v>
      </c>
      <c r="G166" s="4" t="n">
        <v>413537.12</v>
      </c>
      <c r="H166" s="4" t="n">
        <v>173267.85</v>
      </c>
      <c r="I166" s="4" t="n">
        <v>0.2953</v>
      </c>
      <c r="J166" s="4" t="n">
        <v>0.871</v>
      </c>
      <c r="K166" s="4" t="n">
        <v>49</v>
      </c>
      <c r="L166" s="4" t="n">
        <v>45</v>
      </c>
      <c r="M166" s="4" t="n">
        <v>2</v>
      </c>
      <c r="N166" s="4" t="n">
        <v>0</v>
      </c>
    </row>
    <row r="167" customFormat="false" ht="15" hidden="false" customHeight="false" outlineLevel="0" collapsed="false">
      <c r="A167" s="4" t="s">
        <v>509</v>
      </c>
      <c r="B167" s="4" t="s">
        <v>60</v>
      </c>
      <c r="C167" s="4" t="s">
        <v>302</v>
      </c>
      <c r="D167" s="4" t="n">
        <v>68512.32</v>
      </c>
      <c r="E167" s="4" t="n">
        <v>0.1421</v>
      </c>
      <c r="F167" s="4" t="n">
        <v>58774.5</v>
      </c>
      <c r="G167" s="4" t="n">
        <v>53970.84</v>
      </c>
      <c r="H167" s="4" t="n">
        <v>4803.66</v>
      </c>
      <c r="I167" s="4" t="n">
        <v>0.0817</v>
      </c>
      <c r="J167" s="4" t="n">
        <v>1.066</v>
      </c>
      <c r="K167" s="4" t="n">
        <v>65</v>
      </c>
      <c r="L167" s="4" t="n">
        <v>90</v>
      </c>
      <c r="M167" s="4" t="n">
        <v>5</v>
      </c>
      <c r="N167" s="4" t="n">
        <v>1</v>
      </c>
    </row>
    <row r="168" customFormat="false" ht="15" hidden="false" customHeight="false" outlineLevel="0" collapsed="false">
      <c r="A168" s="4" t="s">
        <v>510</v>
      </c>
      <c r="B168" s="4" t="s">
        <v>244</v>
      </c>
      <c r="C168" s="4" t="s">
        <v>310</v>
      </c>
      <c r="D168" s="4" t="n">
        <v>51479.55</v>
      </c>
      <c r="E168" s="4" t="n">
        <v>0.2327</v>
      </c>
      <c r="F168" s="4" t="n">
        <v>39498.35</v>
      </c>
      <c r="G168" s="4" t="n">
        <v>36498.21</v>
      </c>
      <c r="H168" s="4" t="n">
        <v>3000.14</v>
      </c>
      <c r="I168" s="4" t="n">
        <v>0.076</v>
      </c>
      <c r="J168" s="4" t="n">
        <v>1.044</v>
      </c>
      <c r="K168" s="4" t="n">
        <v>50</v>
      </c>
      <c r="L168" s="4" t="n">
        <v>45</v>
      </c>
      <c r="M168" s="4" t="n">
        <v>0</v>
      </c>
      <c r="N168" s="4" t="n">
        <v>1</v>
      </c>
    </row>
    <row r="169" customFormat="false" ht="15" hidden="false" customHeight="false" outlineLevel="0" collapsed="false">
      <c r="A169" s="4" t="s">
        <v>511</v>
      </c>
      <c r="B169" s="4" t="s">
        <v>108</v>
      </c>
      <c r="C169" s="4" t="s">
        <v>316</v>
      </c>
      <c r="D169" s="4" t="n">
        <v>716900.2</v>
      </c>
      <c r="E169" s="4" t="n">
        <v>0.0991</v>
      </c>
      <c r="F169" s="4" t="n">
        <v>645888.17</v>
      </c>
      <c r="G169" s="4" t="n">
        <v>456455.56</v>
      </c>
      <c r="H169" s="4" t="n">
        <v>189432.61</v>
      </c>
      <c r="I169" s="4" t="n">
        <v>0.2933</v>
      </c>
      <c r="J169" s="4" t="n">
        <v>1.085</v>
      </c>
      <c r="K169" s="4" t="n">
        <v>67</v>
      </c>
      <c r="L169" s="4" t="n">
        <v>90</v>
      </c>
      <c r="M169" s="4" t="n">
        <v>2</v>
      </c>
      <c r="N169" s="4" t="n">
        <v>1</v>
      </c>
    </row>
    <row r="170" customFormat="false" ht="15" hidden="false" customHeight="false" outlineLevel="0" collapsed="false">
      <c r="A170" s="4" t="s">
        <v>512</v>
      </c>
      <c r="B170" s="4" t="s">
        <v>108</v>
      </c>
      <c r="C170" s="4" t="s">
        <v>296</v>
      </c>
      <c r="D170" s="4" t="n">
        <v>2062838.42</v>
      </c>
      <c r="E170" s="4" t="n">
        <v>0.148</v>
      </c>
      <c r="F170" s="4" t="n">
        <v>1757580.58</v>
      </c>
      <c r="G170" s="4" t="n">
        <v>1266474.04</v>
      </c>
      <c r="H170" s="4" t="n">
        <v>491106.54</v>
      </c>
      <c r="I170" s="4" t="n">
        <v>0.2794</v>
      </c>
      <c r="J170" s="4" t="n">
        <v>0.991</v>
      </c>
      <c r="K170" s="4" t="n">
        <v>44</v>
      </c>
      <c r="L170" s="4" t="n">
        <v>60</v>
      </c>
      <c r="M170" s="4" t="n">
        <v>8</v>
      </c>
      <c r="N170" s="4" t="n">
        <v>0</v>
      </c>
    </row>
    <row r="171" customFormat="false" ht="15" hidden="false" customHeight="false" outlineLevel="0" collapsed="false">
      <c r="A171" s="4" t="s">
        <v>513</v>
      </c>
      <c r="B171" s="4" t="s">
        <v>216</v>
      </c>
      <c r="C171" s="4" t="s">
        <v>265</v>
      </c>
      <c r="D171" s="4" t="n">
        <v>574997.1</v>
      </c>
      <c r="E171" s="4" t="n">
        <v>0.111</v>
      </c>
      <c r="F171" s="4" t="n">
        <v>511162.96</v>
      </c>
      <c r="G171" s="4" t="n">
        <v>407256.99</v>
      </c>
      <c r="H171" s="4" t="n">
        <v>103905.97</v>
      </c>
      <c r="I171" s="4" t="n">
        <v>0.2033</v>
      </c>
      <c r="J171" s="4" t="n">
        <v>0.979</v>
      </c>
      <c r="K171" s="4" t="n">
        <v>71</v>
      </c>
      <c r="L171" s="4" t="n">
        <v>30</v>
      </c>
      <c r="M171" s="4" t="n">
        <v>4</v>
      </c>
      <c r="N171" s="4" t="n">
        <v>1</v>
      </c>
    </row>
    <row r="172" customFormat="false" ht="15" hidden="false" customHeight="false" outlineLevel="0" collapsed="false">
      <c r="A172" s="4" t="s">
        <v>514</v>
      </c>
      <c r="B172" s="4" t="s">
        <v>222</v>
      </c>
      <c r="C172" s="4" t="s">
        <v>296</v>
      </c>
      <c r="D172" s="4" t="n">
        <v>4125676.84</v>
      </c>
      <c r="E172" s="4" t="n">
        <v>0.0297</v>
      </c>
      <c r="F172" s="4" t="n">
        <v>4003046.55</v>
      </c>
      <c r="G172" s="4" t="n">
        <v>2532948.08</v>
      </c>
      <c r="H172" s="4" t="n">
        <v>1470098.47</v>
      </c>
      <c r="I172" s="4" t="n">
        <v>0.3672</v>
      </c>
      <c r="J172" s="4" t="n">
        <v>1.009</v>
      </c>
      <c r="K172" s="4" t="n">
        <v>94</v>
      </c>
      <c r="L172" s="4" t="n">
        <v>45</v>
      </c>
      <c r="M172" s="4" t="n">
        <v>5</v>
      </c>
      <c r="N172" s="4" t="n">
        <v>1</v>
      </c>
    </row>
    <row r="173" customFormat="false" ht="15" hidden="false" customHeight="false" outlineLevel="0" collapsed="false">
      <c r="A173" s="4" t="s">
        <v>515</v>
      </c>
      <c r="B173" s="4" t="s">
        <v>164</v>
      </c>
      <c r="C173" s="4" t="s">
        <v>326</v>
      </c>
      <c r="D173" s="4" t="n">
        <v>84862.32</v>
      </c>
      <c r="E173" s="4" t="n">
        <v>0.0423</v>
      </c>
      <c r="F173" s="4" t="n">
        <v>81274.05</v>
      </c>
      <c r="G173" s="4" t="n">
        <v>54725.48</v>
      </c>
      <c r="H173" s="4" t="n">
        <v>26548.57</v>
      </c>
      <c r="I173" s="4" t="n">
        <v>0.3267</v>
      </c>
      <c r="J173" s="4" t="n">
        <v>0.971</v>
      </c>
      <c r="K173" s="4" t="n">
        <v>41</v>
      </c>
      <c r="L173" s="4" t="n">
        <v>45</v>
      </c>
      <c r="M173" s="4" t="n">
        <v>0</v>
      </c>
      <c r="N173" s="4" t="n">
        <v>1</v>
      </c>
    </row>
    <row r="174" customFormat="false" ht="15" hidden="false" customHeight="false" outlineLevel="0" collapsed="false">
      <c r="A174" s="4" t="s">
        <v>516</v>
      </c>
      <c r="B174" s="4" t="s">
        <v>92</v>
      </c>
      <c r="C174" s="4" t="s">
        <v>271</v>
      </c>
      <c r="D174" s="4" t="n">
        <v>1374328.06</v>
      </c>
      <c r="E174" s="4" t="n">
        <v>0.1461</v>
      </c>
      <c r="F174" s="4" t="n">
        <v>1173478.8</v>
      </c>
      <c r="G174" s="4" t="n">
        <v>1059005.52</v>
      </c>
      <c r="H174" s="4" t="n">
        <v>114473.28</v>
      </c>
      <c r="I174" s="4" t="n">
        <v>0.0976</v>
      </c>
      <c r="J174" s="4" t="n">
        <v>1.067</v>
      </c>
      <c r="K174" s="4" t="n">
        <v>29</v>
      </c>
      <c r="L174" s="4" t="n">
        <v>30</v>
      </c>
      <c r="M174" s="4" t="n">
        <v>10</v>
      </c>
      <c r="N174" s="4" t="n">
        <v>1</v>
      </c>
    </row>
    <row r="175" customFormat="false" ht="15" hidden="false" customHeight="false" outlineLevel="0" collapsed="false">
      <c r="A175" s="4" t="s">
        <v>517</v>
      </c>
      <c r="B175" s="4" t="s">
        <v>162</v>
      </c>
      <c r="C175" s="4" t="s">
        <v>314</v>
      </c>
      <c r="D175" s="4" t="n">
        <v>416258.93</v>
      </c>
      <c r="E175" s="4" t="n">
        <v>0.0862</v>
      </c>
      <c r="F175" s="4" t="n">
        <v>380382.96</v>
      </c>
      <c r="G175" s="4" t="n">
        <v>288225.53</v>
      </c>
      <c r="H175" s="4" t="n">
        <v>92157.43</v>
      </c>
      <c r="I175" s="4" t="n">
        <v>0.2423</v>
      </c>
      <c r="J175" s="4" t="n">
        <v>1.147</v>
      </c>
      <c r="K175" s="4" t="n">
        <v>98</v>
      </c>
      <c r="L175" s="4" t="n">
        <v>60</v>
      </c>
      <c r="M175" s="4" t="n">
        <v>14</v>
      </c>
      <c r="N175" s="4" t="n">
        <v>1</v>
      </c>
    </row>
    <row r="176" customFormat="false" ht="15" hidden="false" customHeight="false" outlineLevel="0" collapsed="false">
      <c r="A176" s="4" t="s">
        <v>518</v>
      </c>
      <c r="B176" s="4" t="s">
        <v>132</v>
      </c>
      <c r="C176" s="4" t="s">
        <v>330</v>
      </c>
      <c r="D176" s="4" t="n">
        <v>32256.72</v>
      </c>
      <c r="E176" s="4" t="n">
        <v>0.0302</v>
      </c>
      <c r="F176" s="4" t="n">
        <v>31282.07</v>
      </c>
      <c r="G176" s="4" t="n">
        <v>23527.23</v>
      </c>
      <c r="H176" s="4" t="n">
        <v>7754.84</v>
      </c>
      <c r="I176" s="4" t="n">
        <v>0.2479</v>
      </c>
      <c r="J176" s="4" t="n">
        <v>1.039</v>
      </c>
      <c r="K176" s="4" t="n">
        <v>57</v>
      </c>
      <c r="L176" s="4" t="n">
        <v>120</v>
      </c>
      <c r="M176" s="4" t="n">
        <v>5</v>
      </c>
      <c r="N176" s="4" t="n">
        <v>0</v>
      </c>
    </row>
    <row r="177" customFormat="false" ht="15" hidden="false" customHeight="false" outlineLevel="0" collapsed="false">
      <c r="A177" s="4" t="s">
        <v>519</v>
      </c>
      <c r="B177" s="4" t="s">
        <v>94</v>
      </c>
      <c r="C177" s="4" t="s">
        <v>300</v>
      </c>
      <c r="D177" s="4" t="n">
        <v>48755.3</v>
      </c>
      <c r="E177" s="4" t="n">
        <v>0.0626</v>
      </c>
      <c r="F177" s="4" t="n">
        <v>45702.91</v>
      </c>
      <c r="G177" s="4" t="n">
        <v>40325.48</v>
      </c>
      <c r="H177" s="4" t="n">
        <v>5377.43</v>
      </c>
      <c r="I177" s="4" t="n">
        <v>0.1177</v>
      </c>
      <c r="J177" s="4" t="n">
        <v>1.088</v>
      </c>
      <c r="K177" s="4" t="n">
        <v>71</v>
      </c>
      <c r="L177" s="4" t="n">
        <v>120</v>
      </c>
      <c r="M177" s="4" t="n">
        <v>1</v>
      </c>
      <c r="N177" s="4" t="n">
        <v>0</v>
      </c>
    </row>
    <row r="178" customFormat="false" ht="15" hidden="false" customHeight="false" outlineLevel="0" collapsed="false">
      <c r="A178" s="4" t="s">
        <v>520</v>
      </c>
      <c r="B178" s="4" t="s">
        <v>228</v>
      </c>
      <c r="C178" s="4" t="s">
        <v>276</v>
      </c>
      <c r="D178" s="4" t="n">
        <v>145884</v>
      </c>
      <c r="E178" s="4" t="n">
        <v>0.1193</v>
      </c>
      <c r="F178" s="4" t="n">
        <v>128478.59</v>
      </c>
      <c r="G178" s="4" t="n">
        <v>96852.99</v>
      </c>
      <c r="H178" s="4" t="n">
        <v>31625.6</v>
      </c>
      <c r="I178" s="4" t="n">
        <v>0.2462</v>
      </c>
      <c r="J178" s="4" t="n">
        <v>1.078</v>
      </c>
      <c r="K178" s="4" t="n">
        <v>56</v>
      </c>
      <c r="L178" s="4" t="n">
        <v>30</v>
      </c>
      <c r="M178" s="4" t="n">
        <v>13</v>
      </c>
      <c r="N178" s="4" t="n">
        <v>1</v>
      </c>
    </row>
    <row r="179" customFormat="false" ht="15" hidden="false" customHeight="false" outlineLevel="0" collapsed="false">
      <c r="A179" s="4" t="s">
        <v>521</v>
      </c>
      <c r="B179" s="4" t="s">
        <v>160</v>
      </c>
      <c r="C179" s="4" t="s">
        <v>287</v>
      </c>
      <c r="D179" s="4" t="n">
        <v>82396.64</v>
      </c>
      <c r="E179" s="4" t="n">
        <v>0.1573</v>
      </c>
      <c r="F179" s="4" t="n">
        <v>69438.22</v>
      </c>
      <c r="G179" s="4" t="n">
        <v>73131.36</v>
      </c>
      <c r="H179" s="4" t="n">
        <v>-3693.14</v>
      </c>
      <c r="I179" s="4" t="n">
        <v>-0.0532</v>
      </c>
      <c r="J179" s="4" t="n">
        <v>0.995</v>
      </c>
      <c r="K179" s="4" t="n">
        <v>62</v>
      </c>
      <c r="L179" s="4" t="n">
        <v>60</v>
      </c>
      <c r="M179" s="4" t="n">
        <v>2</v>
      </c>
      <c r="N179" s="4" t="n">
        <v>1</v>
      </c>
    </row>
    <row r="180" customFormat="false" ht="15" hidden="false" customHeight="false" outlineLevel="0" collapsed="false">
      <c r="A180" s="4" t="s">
        <v>522</v>
      </c>
      <c r="B180" s="4" t="s">
        <v>104</v>
      </c>
      <c r="C180" s="4" t="s">
        <v>312</v>
      </c>
      <c r="D180" s="4" t="n">
        <v>469833.24</v>
      </c>
      <c r="E180" s="4" t="n">
        <v>0.246</v>
      </c>
      <c r="F180" s="4" t="n">
        <v>354254.26</v>
      </c>
      <c r="G180" s="4" t="n">
        <v>310152.84</v>
      </c>
      <c r="H180" s="4" t="n">
        <v>44101.42</v>
      </c>
      <c r="I180" s="4" t="n">
        <v>0.1245</v>
      </c>
      <c r="J180" s="4" t="n">
        <v>0.913</v>
      </c>
      <c r="K180" s="4" t="n">
        <v>34</v>
      </c>
      <c r="L180" s="4" t="n">
        <v>30</v>
      </c>
      <c r="M180" s="4" t="n">
        <v>12</v>
      </c>
      <c r="N180" s="4" t="n">
        <v>0</v>
      </c>
    </row>
    <row r="181" customFormat="false" ht="15" hidden="false" customHeight="false" outlineLevel="0" collapsed="false">
      <c r="A181" s="4" t="s">
        <v>523</v>
      </c>
      <c r="B181" s="4" t="s">
        <v>170</v>
      </c>
      <c r="C181" s="4" t="s">
        <v>326</v>
      </c>
      <c r="D181" s="4" t="n">
        <v>339449.28</v>
      </c>
      <c r="E181" s="4" t="n">
        <v>0.0148</v>
      </c>
      <c r="F181" s="4" t="n">
        <v>334417.75</v>
      </c>
      <c r="G181" s="4" t="n">
        <v>218901.92</v>
      </c>
      <c r="H181" s="4" t="n">
        <v>115515.83</v>
      </c>
      <c r="I181" s="4" t="n">
        <v>0.3454</v>
      </c>
      <c r="J181" s="4" t="n">
        <v>0.946</v>
      </c>
      <c r="K181" s="4" t="n">
        <v>38</v>
      </c>
      <c r="L181" s="4" t="n">
        <v>30</v>
      </c>
      <c r="M181" s="4" t="n">
        <v>0</v>
      </c>
      <c r="N181" s="4" t="n">
        <v>0</v>
      </c>
    </row>
    <row r="182" customFormat="false" ht="15" hidden="false" customHeight="false" outlineLevel="0" collapsed="false">
      <c r="A182" s="4" t="s">
        <v>524</v>
      </c>
      <c r="B182" s="4" t="s">
        <v>220</v>
      </c>
      <c r="C182" s="4" t="s">
        <v>281</v>
      </c>
      <c r="D182" s="4" t="n">
        <v>19878.33</v>
      </c>
      <c r="E182" s="4" t="n">
        <v>0.0459</v>
      </c>
      <c r="F182" s="4" t="n">
        <v>18965.2</v>
      </c>
      <c r="G182" s="4" t="n">
        <v>15827.62</v>
      </c>
      <c r="H182" s="4" t="n">
        <v>3137.58</v>
      </c>
      <c r="I182" s="4" t="n">
        <v>0.1654</v>
      </c>
      <c r="J182" s="4" t="n">
        <v>1.032</v>
      </c>
      <c r="K182" s="4" t="n">
        <v>66</v>
      </c>
      <c r="L182" s="4" t="n">
        <v>30</v>
      </c>
      <c r="M182" s="4" t="n">
        <v>8</v>
      </c>
      <c r="N182" s="4" t="n">
        <v>0</v>
      </c>
    </row>
    <row r="183" customFormat="false" ht="15" hidden="false" customHeight="false" outlineLevel="0" collapsed="false">
      <c r="A183" s="4" t="s">
        <v>525</v>
      </c>
      <c r="B183" s="4" t="s">
        <v>216</v>
      </c>
      <c r="C183" s="4" t="s">
        <v>310</v>
      </c>
      <c r="D183" s="4" t="n">
        <v>85799.25</v>
      </c>
      <c r="E183" s="4" t="n">
        <v>0.0982</v>
      </c>
      <c r="F183" s="4" t="n">
        <v>77376.05</v>
      </c>
      <c r="G183" s="4" t="n">
        <v>60830.35</v>
      </c>
      <c r="H183" s="4" t="n">
        <v>16545.7</v>
      </c>
      <c r="I183" s="4" t="n">
        <v>0.2138</v>
      </c>
      <c r="J183" s="4" t="n">
        <v>1.041</v>
      </c>
      <c r="K183" s="4" t="n">
        <v>62</v>
      </c>
      <c r="L183" s="4" t="n">
        <v>120</v>
      </c>
      <c r="M183" s="4" t="n">
        <v>4</v>
      </c>
      <c r="N183" s="4" t="n">
        <v>1</v>
      </c>
    </row>
    <row r="184" customFormat="false" ht="15" hidden="false" customHeight="false" outlineLevel="0" collapsed="false">
      <c r="A184" s="4" t="s">
        <v>526</v>
      </c>
      <c r="B184" s="4" t="s">
        <v>190</v>
      </c>
      <c r="C184" s="4" t="s">
        <v>276</v>
      </c>
      <c r="D184" s="4" t="n">
        <v>145884</v>
      </c>
      <c r="E184" s="4" t="n">
        <v>0.0453</v>
      </c>
      <c r="F184" s="4" t="n">
        <v>139269.43</v>
      </c>
      <c r="G184" s="4" t="n">
        <v>96852.99</v>
      </c>
      <c r="H184" s="4" t="n">
        <v>42416.44</v>
      </c>
      <c r="I184" s="4" t="n">
        <v>0.3046</v>
      </c>
      <c r="J184" s="4" t="n">
        <v>0.947</v>
      </c>
      <c r="K184" s="4" t="n">
        <v>35</v>
      </c>
      <c r="L184" s="4" t="n">
        <v>60</v>
      </c>
      <c r="M184" s="4" t="n">
        <v>5</v>
      </c>
      <c r="N184" s="4" t="n">
        <v>1</v>
      </c>
    </row>
    <row r="185" customFormat="false" ht="15" hidden="false" customHeight="false" outlineLevel="0" collapsed="false">
      <c r="A185" s="4" t="s">
        <v>527</v>
      </c>
      <c r="B185" s="4" t="s">
        <v>42</v>
      </c>
      <c r="C185" s="4" t="s">
        <v>292</v>
      </c>
      <c r="D185" s="4" t="n">
        <v>200636.36</v>
      </c>
      <c r="E185" s="4" t="n">
        <v>0.052</v>
      </c>
      <c r="F185" s="4" t="n">
        <v>190207.77</v>
      </c>
      <c r="G185" s="4" t="n">
        <v>148243.36</v>
      </c>
      <c r="H185" s="4" t="n">
        <v>41964.41</v>
      </c>
      <c r="I185" s="4" t="n">
        <v>0.2206</v>
      </c>
      <c r="J185" s="4" t="n">
        <v>0.887</v>
      </c>
      <c r="K185" s="4" t="n">
        <v>80</v>
      </c>
      <c r="L185" s="4" t="n">
        <v>45</v>
      </c>
      <c r="M185" s="4" t="n">
        <v>2</v>
      </c>
      <c r="N185" s="4" t="n">
        <v>1</v>
      </c>
    </row>
    <row r="186" customFormat="false" ht="15" hidden="false" customHeight="false" outlineLevel="0" collapsed="false">
      <c r="A186" s="4" t="s">
        <v>528</v>
      </c>
      <c r="B186" s="4" t="s">
        <v>106</v>
      </c>
      <c r="C186" s="4" t="s">
        <v>326</v>
      </c>
      <c r="D186" s="4" t="n">
        <v>424311.6</v>
      </c>
      <c r="E186" s="4" t="n">
        <v>0.0155</v>
      </c>
      <c r="F186" s="4" t="n">
        <v>417716.04</v>
      </c>
      <c r="G186" s="4" t="n">
        <v>273627.4</v>
      </c>
      <c r="H186" s="4" t="n">
        <v>144088.64</v>
      </c>
      <c r="I186" s="4" t="n">
        <v>0.3449</v>
      </c>
      <c r="J186" s="4" t="n">
        <v>1.044</v>
      </c>
      <c r="K186" s="4" t="n">
        <v>50</v>
      </c>
      <c r="L186" s="4" t="n">
        <v>60</v>
      </c>
      <c r="M186" s="4" t="n">
        <v>4</v>
      </c>
      <c r="N186" s="4" t="n">
        <v>0</v>
      </c>
    </row>
    <row r="187" customFormat="false" ht="15" hidden="false" customHeight="false" outlineLevel="0" collapsed="false">
      <c r="A187" s="4" t="s">
        <v>529</v>
      </c>
      <c r="B187" s="4" t="s">
        <v>154</v>
      </c>
      <c r="C187" s="4" t="s">
        <v>320</v>
      </c>
      <c r="D187" s="4" t="n">
        <v>80841.74</v>
      </c>
      <c r="E187" s="4" t="n">
        <v>0.1727</v>
      </c>
      <c r="F187" s="4" t="n">
        <v>66877.96</v>
      </c>
      <c r="G187" s="4" t="n">
        <v>57264.74</v>
      </c>
      <c r="H187" s="4" t="n">
        <v>9613.22</v>
      </c>
      <c r="I187" s="4" t="n">
        <v>0.1437</v>
      </c>
      <c r="J187" s="4" t="n">
        <v>1.126</v>
      </c>
      <c r="K187" s="4" t="n">
        <v>86</v>
      </c>
      <c r="L187" s="4" t="n">
        <v>30</v>
      </c>
      <c r="M187" s="4" t="n">
        <v>8</v>
      </c>
      <c r="N187" s="4" t="n">
        <v>1</v>
      </c>
    </row>
    <row r="188" customFormat="false" ht="15" hidden="false" customHeight="false" outlineLevel="0" collapsed="false">
      <c r="A188" s="4" t="s">
        <v>530</v>
      </c>
      <c r="B188" s="4" t="s">
        <v>240</v>
      </c>
      <c r="C188" s="4" t="s">
        <v>276</v>
      </c>
      <c r="D188" s="4" t="n">
        <v>97256</v>
      </c>
      <c r="E188" s="4" t="n">
        <v>0.0418</v>
      </c>
      <c r="F188" s="4" t="n">
        <v>93192.92</v>
      </c>
      <c r="G188" s="4" t="n">
        <v>64568.66</v>
      </c>
      <c r="H188" s="4" t="n">
        <v>28624.26</v>
      </c>
      <c r="I188" s="4" t="n">
        <v>0.3072</v>
      </c>
      <c r="J188" s="4" t="n">
        <v>0.946</v>
      </c>
      <c r="K188" s="4" t="n">
        <v>77</v>
      </c>
      <c r="L188" s="4" t="n">
        <v>45</v>
      </c>
      <c r="M188" s="4" t="n">
        <v>2</v>
      </c>
      <c r="N188" s="4" t="n">
        <v>1</v>
      </c>
    </row>
    <row r="189" customFormat="false" ht="15" hidden="false" customHeight="false" outlineLevel="0" collapsed="false">
      <c r="A189" s="4" t="s">
        <v>531</v>
      </c>
      <c r="B189" s="4" t="s">
        <v>176</v>
      </c>
      <c r="C189" s="4" t="s">
        <v>320</v>
      </c>
      <c r="D189" s="4" t="n">
        <v>161683.48</v>
      </c>
      <c r="E189" s="4" t="n">
        <v>0.0517</v>
      </c>
      <c r="F189" s="4" t="n">
        <v>153325.39</v>
      </c>
      <c r="G189" s="4" t="n">
        <v>114529.48</v>
      </c>
      <c r="H189" s="4" t="n">
        <v>38795.91</v>
      </c>
      <c r="I189" s="4" t="n">
        <v>0.253</v>
      </c>
      <c r="J189" s="4" t="n">
        <v>1.07</v>
      </c>
      <c r="K189" s="4" t="n">
        <v>83</v>
      </c>
      <c r="L189" s="4" t="n">
        <v>90</v>
      </c>
      <c r="M189" s="4" t="n">
        <v>1</v>
      </c>
      <c r="N189" s="4" t="n">
        <v>1</v>
      </c>
    </row>
    <row r="190" customFormat="false" ht="15" hidden="false" customHeight="false" outlineLevel="0" collapsed="false">
      <c r="A190" s="4" t="s">
        <v>532</v>
      </c>
      <c r="B190" s="4" t="s">
        <v>110</v>
      </c>
      <c r="C190" s="4" t="s">
        <v>316</v>
      </c>
      <c r="D190" s="4" t="n">
        <v>358450.1</v>
      </c>
      <c r="E190" s="4" t="n">
        <v>0.0689</v>
      </c>
      <c r="F190" s="4" t="n">
        <v>333739.53</v>
      </c>
      <c r="G190" s="4" t="n">
        <v>228227.78</v>
      </c>
      <c r="H190" s="4" t="n">
        <v>105511.75</v>
      </c>
      <c r="I190" s="4" t="n">
        <v>0.3161</v>
      </c>
      <c r="J190" s="4" t="n">
        <v>0.94</v>
      </c>
      <c r="K190" s="4" t="n">
        <v>92</v>
      </c>
      <c r="L190" s="4" t="n">
        <v>30</v>
      </c>
      <c r="M190" s="4" t="n">
        <v>5</v>
      </c>
      <c r="N190" s="4" t="n">
        <v>1</v>
      </c>
    </row>
    <row r="191" customFormat="false" ht="15" hidden="false" customHeight="false" outlineLevel="0" collapsed="false">
      <c r="A191" s="4" t="s">
        <v>533</v>
      </c>
      <c r="B191" s="4" t="s">
        <v>69</v>
      </c>
      <c r="C191" s="4" t="s">
        <v>290</v>
      </c>
      <c r="D191" s="4" t="n">
        <v>23747.35</v>
      </c>
      <c r="E191" s="4" t="n">
        <v>0.1049</v>
      </c>
      <c r="F191" s="4" t="n">
        <v>21257.25</v>
      </c>
      <c r="G191" s="4" t="n">
        <v>17137.5</v>
      </c>
      <c r="H191" s="4" t="n">
        <v>4119.75</v>
      </c>
      <c r="I191" s="4" t="n">
        <v>0.1938</v>
      </c>
      <c r="J191" s="4" t="n">
        <v>1.128</v>
      </c>
      <c r="K191" s="4" t="n">
        <v>68</v>
      </c>
      <c r="L191" s="4" t="n">
        <v>60</v>
      </c>
      <c r="M191" s="4" t="n">
        <v>11</v>
      </c>
      <c r="N191" s="4" t="n">
        <v>1</v>
      </c>
    </row>
    <row r="192" customFormat="false" ht="15" hidden="false" customHeight="false" outlineLevel="0" collapsed="false">
      <c r="A192" s="4" t="s">
        <v>534</v>
      </c>
      <c r="B192" s="4" t="s">
        <v>170</v>
      </c>
      <c r="C192" s="4" t="s">
        <v>290</v>
      </c>
      <c r="D192" s="4" t="n">
        <v>14248.41</v>
      </c>
      <c r="E192" s="4" t="n">
        <v>0.0906</v>
      </c>
      <c r="F192" s="4" t="n">
        <v>12957.59</v>
      </c>
      <c r="G192" s="4" t="n">
        <v>10282.5</v>
      </c>
      <c r="H192" s="4" t="n">
        <v>2675.09</v>
      </c>
      <c r="I192" s="4" t="n">
        <v>0.2064</v>
      </c>
      <c r="J192" s="4" t="n">
        <v>0.799</v>
      </c>
      <c r="K192" s="4" t="n">
        <v>17</v>
      </c>
      <c r="L192" s="4" t="n">
        <v>60</v>
      </c>
      <c r="M192" s="4" t="n">
        <v>4</v>
      </c>
      <c r="N192" s="4" t="n">
        <v>1</v>
      </c>
    </row>
    <row r="193" customFormat="false" ht="15" hidden="false" customHeight="false" outlineLevel="0" collapsed="false">
      <c r="A193" s="4" t="s">
        <v>535</v>
      </c>
      <c r="B193" s="4" t="s">
        <v>100</v>
      </c>
      <c r="C193" s="4" t="s">
        <v>294</v>
      </c>
      <c r="D193" s="4" t="n">
        <v>1847011.88</v>
      </c>
      <c r="E193" s="4" t="n">
        <v>0.1895</v>
      </c>
      <c r="F193" s="4" t="n">
        <v>1496916</v>
      </c>
      <c r="G193" s="4" t="n">
        <v>1314561.08</v>
      </c>
      <c r="H193" s="4" t="n">
        <v>182354.92</v>
      </c>
      <c r="I193" s="4" t="n">
        <v>0.1218</v>
      </c>
      <c r="J193" s="4" t="n">
        <v>0.898</v>
      </c>
      <c r="K193" s="4" t="n">
        <v>59</v>
      </c>
      <c r="L193" s="4" t="n">
        <v>90</v>
      </c>
      <c r="M193" s="4" t="n">
        <v>4</v>
      </c>
      <c r="N193" s="4" t="n">
        <v>1</v>
      </c>
    </row>
    <row r="194" customFormat="false" ht="15" hidden="false" customHeight="false" outlineLevel="0" collapsed="false">
      <c r="A194" s="4" t="s">
        <v>536</v>
      </c>
      <c r="B194" s="4" t="s">
        <v>130</v>
      </c>
      <c r="C194" s="4" t="s">
        <v>281</v>
      </c>
      <c r="D194" s="4" t="n">
        <v>19878.33</v>
      </c>
      <c r="E194" s="4" t="n">
        <v>0.0519</v>
      </c>
      <c r="F194" s="4" t="n">
        <v>18846.26</v>
      </c>
      <c r="G194" s="4" t="n">
        <v>15827.62</v>
      </c>
      <c r="H194" s="4" t="n">
        <v>3018.64</v>
      </c>
      <c r="I194" s="4" t="n">
        <v>0.1602</v>
      </c>
      <c r="J194" s="4" t="n">
        <v>1.163</v>
      </c>
      <c r="K194" s="4" t="n">
        <v>59</v>
      </c>
      <c r="L194" s="4" t="n">
        <v>30</v>
      </c>
      <c r="M194" s="4" t="n">
        <v>0</v>
      </c>
      <c r="N194" s="4" t="n">
        <v>1</v>
      </c>
    </row>
    <row r="195" customFormat="false" ht="15" hidden="false" customHeight="false" outlineLevel="0" collapsed="false">
      <c r="A195" s="4" t="s">
        <v>537</v>
      </c>
      <c r="B195" s="4" t="s">
        <v>250</v>
      </c>
      <c r="C195" s="4" t="s">
        <v>284</v>
      </c>
      <c r="D195" s="4" t="n">
        <v>222365.55</v>
      </c>
      <c r="E195" s="4" t="n">
        <v>0.092</v>
      </c>
      <c r="F195" s="4" t="n">
        <v>201917.66</v>
      </c>
      <c r="G195" s="4" t="n">
        <v>159029.2</v>
      </c>
      <c r="H195" s="4" t="n">
        <v>42888.46</v>
      </c>
      <c r="I195" s="4" t="n">
        <v>0.2124</v>
      </c>
      <c r="J195" s="4" t="n">
        <v>1.025</v>
      </c>
      <c r="K195" s="4" t="n">
        <v>44</v>
      </c>
      <c r="L195" s="4" t="n">
        <v>60</v>
      </c>
      <c r="M195" s="4" t="n">
        <v>2</v>
      </c>
      <c r="N195" s="4" t="n">
        <v>1</v>
      </c>
    </row>
    <row r="196" customFormat="false" ht="15" hidden="false" customHeight="false" outlineLevel="0" collapsed="false">
      <c r="A196" s="4" t="s">
        <v>538</v>
      </c>
      <c r="B196" s="4" t="s">
        <v>94</v>
      </c>
      <c r="C196" s="4" t="s">
        <v>324</v>
      </c>
      <c r="D196" s="4" t="n">
        <v>108309.93</v>
      </c>
      <c r="E196" s="4" t="n">
        <v>0.0612</v>
      </c>
      <c r="F196" s="4" t="n">
        <v>101679.32</v>
      </c>
      <c r="G196" s="4" t="n">
        <v>79597.02</v>
      </c>
      <c r="H196" s="4" t="n">
        <v>22082.3</v>
      </c>
      <c r="I196" s="4" t="n">
        <v>0.2172</v>
      </c>
      <c r="J196" s="4" t="n">
        <v>1.021</v>
      </c>
      <c r="K196" s="4" t="n">
        <v>33</v>
      </c>
      <c r="L196" s="4" t="n">
        <v>45</v>
      </c>
      <c r="M196" s="4" t="n">
        <v>12</v>
      </c>
      <c r="N196" s="4" t="n">
        <v>1</v>
      </c>
    </row>
    <row r="197" customFormat="false" ht="15" hidden="false" customHeight="false" outlineLevel="0" collapsed="false">
      <c r="A197" s="4" t="s">
        <v>539</v>
      </c>
      <c r="B197" s="4" t="s">
        <v>71</v>
      </c>
      <c r="C197" s="4" t="s">
        <v>322</v>
      </c>
      <c r="D197" s="4" t="n">
        <v>99310.54</v>
      </c>
      <c r="E197" s="4" t="n">
        <v>0.0776</v>
      </c>
      <c r="F197" s="4" t="n">
        <v>91604.13</v>
      </c>
      <c r="G197" s="4" t="n">
        <v>77860.6</v>
      </c>
      <c r="H197" s="4" t="n">
        <v>13743.53</v>
      </c>
      <c r="I197" s="4" t="n">
        <v>0.15</v>
      </c>
      <c r="J197" s="4" t="n">
        <v>1.111</v>
      </c>
      <c r="K197" s="4" t="n">
        <v>72</v>
      </c>
      <c r="L197" s="4" t="n">
        <v>30</v>
      </c>
      <c r="M197" s="4" t="n">
        <v>1</v>
      </c>
      <c r="N197" s="4" t="n">
        <v>1</v>
      </c>
    </row>
    <row r="198" customFormat="false" ht="15" hidden="false" customHeight="false" outlineLevel="0" collapsed="false">
      <c r="A198" s="4" t="s">
        <v>540</v>
      </c>
      <c r="B198" s="4" t="s">
        <v>67</v>
      </c>
      <c r="C198" s="4" t="s">
        <v>298</v>
      </c>
      <c r="D198" s="4" t="n">
        <v>4458614.8</v>
      </c>
      <c r="E198" s="4" t="n">
        <v>0.0405</v>
      </c>
      <c r="F198" s="4" t="n">
        <v>4278052.68</v>
      </c>
      <c r="G198" s="4" t="n">
        <v>3366371.75</v>
      </c>
      <c r="H198" s="4" t="n">
        <v>911680.93</v>
      </c>
      <c r="I198" s="4" t="n">
        <v>0.2131</v>
      </c>
      <c r="J198" s="4" t="n">
        <v>1.186</v>
      </c>
      <c r="K198" s="4" t="n">
        <v>76</v>
      </c>
      <c r="L198" s="4" t="n">
        <v>30</v>
      </c>
      <c r="M198" s="4" t="n">
        <v>11</v>
      </c>
      <c r="N198" s="4" t="n">
        <v>0</v>
      </c>
    </row>
    <row r="199" customFormat="false" ht="15" hidden="false" customHeight="false" outlineLevel="0" collapsed="false">
      <c r="A199" s="4" t="s">
        <v>541</v>
      </c>
      <c r="B199" s="4" t="s">
        <v>134</v>
      </c>
      <c r="C199" s="4" t="s">
        <v>304</v>
      </c>
      <c r="D199" s="4" t="n">
        <v>329663.8</v>
      </c>
      <c r="E199" s="4" t="n">
        <v>0.0011</v>
      </c>
      <c r="F199" s="4" t="n">
        <v>329298.41</v>
      </c>
      <c r="G199" s="4" t="n">
        <v>250728.4</v>
      </c>
      <c r="H199" s="4" t="n">
        <v>78570.01</v>
      </c>
      <c r="I199" s="4" t="n">
        <v>0.2386</v>
      </c>
      <c r="J199" s="4" t="n">
        <v>0.979</v>
      </c>
      <c r="K199" s="4" t="n">
        <v>50</v>
      </c>
      <c r="L199" s="4" t="n">
        <v>60</v>
      </c>
      <c r="M199" s="4" t="n">
        <v>9</v>
      </c>
      <c r="N199" s="4" t="n">
        <v>1</v>
      </c>
    </row>
    <row r="200" customFormat="false" ht="15" hidden="false" customHeight="false" outlineLevel="0" collapsed="false">
      <c r="A200" s="4" t="s">
        <v>542</v>
      </c>
      <c r="B200" s="4" t="s">
        <v>100</v>
      </c>
      <c r="C200" s="4" t="s">
        <v>281</v>
      </c>
      <c r="D200" s="4" t="n">
        <v>39756.66</v>
      </c>
      <c r="E200" s="4" t="n">
        <v>0.0743</v>
      </c>
      <c r="F200" s="4" t="n">
        <v>36801.24</v>
      </c>
      <c r="G200" s="4" t="n">
        <v>31655.24</v>
      </c>
      <c r="H200" s="4" t="n">
        <v>5146</v>
      </c>
      <c r="I200" s="4" t="n">
        <v>0.1398</v>
      </c>
      <c r="J200" s="4" t="n">
        <v>0.966</v>
      </c>
      <c r="K200" s="4" t="n">
        <v>62</v>
      </c>
      <c r="L200" s="4" t="n">
        <v>30</v>
      </c>
      <c r="M200" s="4" t="n">
        <v>2</v>
      </c>
      <c r="N200" s="4" t="n">
        <v>1</v>
      </c>
    </row>
    <row r="201" customFormat="false" ht="15" hidden="false" customHeight="false" outlineLevel="0" collapsed="false">
      <c r="A201" s="4" t="s">
        <v>543</v>
      </c>
      <c r="B201" s="4" t="s">
        <v>76</v>
      </c>
      <c r="C201" s="4" t="s">
        <v>316</v>
      </c>
      <c r="D201" s="4" t="n">
        <v>1075350.3</v>
      </c>
      <c r="E201" s="4" t="n">
        <v>0.1094</v>
      </c>
      <c r="F201" s="4" t="n">
        <v>957672.6</v>
      </c>
      <c r="G201" s="4" t="n">
        <v>684683.34</v>
      </c>
      <c r="H201" s="4" t="n">
        <v>272989.26</v>
      </c>
      <c r="I201" s="4" t="n">
        <v>0.2851</v>
      </c>
      <c r="J201" s="4" t="n">
        <v>0.836</v>
      </c>
      <c r="K201" s="4" t="n">
        <v>35</v>
      </c>
      <c r="L201" s="4" t="n">
        <v>45</v>
      </c>
      <c r="M201" s="4" t="n">
        <v>4</v>
      </c>
      <c r="N201" s="4" t="n">
        <v>1</v>
      </c>
    </row>
    <row r="202" customFormat="false" ht="15" hidden="false" customHeight="false" outlineLevel="0" collapsed="false">
      <c r="A202" s="4" t="s">
        <v>544</v>
      </c>
      <c r="B202" s="4" t="s">
        <v>118</v>
      </c>
      <c r="C202" s="4" t="s">
        <v>294</v>
      </c>
      <c r="D202" s="4" t="n">
        <v>3694023.76</v>
      </c>
      <c r="E202" s="4" t="n">
        <v>0.0618</v>
      </c>
      <c r="F202" s="4" t="n">
        <v>3465861.86</v>
      </c>
      <c r="G202" s="4" t="n">
        <v>2629122.16</v>
      </c>
      <c r="H202" s="4" t="n">
        <v>836739.7</v>
      </c>
      <c r="I202" s="4" t="n">
        <v>0.2414</v>
      </c>
      <c r="J202" s="4" t="n">
        <v>1.059</v>
      </c>
      <c r="K202" s="4" t="n">
        <v>32</v>
      </c>
      <c r="L202" s="4" t="n">
        <v>120</v>
      </c>
      <c r="M202" s="4" t="n">
        <v>6</v>
      </c>
      <c r="N202" s="4" t="n">
        <v>0</v>
      </c>
    </row>
    <row r="203" customFormat="false" ht="15" hidden="false" customHeight="false" outlineLevel="0" collapsed="false">
      <c r="A203" s="4" t="s">
        <v>545</v>
      </c>
      <c r="B203" s="4" t="s">
        <v>104</v>
      </c>
      <c r="C203" s="4" t="s">
        <v>268</v>
      </c>
      <c r="D203" s="4" t="n">
        <v>1663660.12</v>
      </c>
      <c r="E203" s="4" t="n">
        <v>0.0395</v>
      </c>
      <c r="F203" s="4" t="n">
        <v>1597904.57</v>
      </c>
      <c r="G203" s="4" t="n">
        <v>1324069.32</v>
      </c>
      <c r="H203" s="4" t="n">
        <v>273835.25</v>
      </c>
      <c r="I203" s="4" t="n">
        <v>0.1714</v>
      </c>
      <c r="J203" s="4" t="n">
        <v>1.029</v>
      </c>
      <c r="K203" s="4" t="n">
        <v>81</v>
      </c>
      <c r="L203" s="4" t="n">
        <v>120</v>
      </c>
      <c r="M203" s="4" t="n">
        <v>1</v>
      </c>
      <c r="N203" s="4" t="n">
        <v>1</v>
      </c>
    </row>
    <row r="204" customFormat="false" ht="15" hidden="false" customHeight="false" outlineLevel="0" collapsed="false">
      <c r="A204" s="4" t="s">
        <v>546</v>
      </c>
      <c r="B204" s="4" t="s">
        <v>128</v>
      </c>
      <c r="C204" s="4" t="s">
        <v>314</v>
      </c>
      <c r="D204" s="4" t="n">
        <v>1248776.79</v>
      </c>
      <c r="E204" s="4" t="n">
        <v>0.164</v>
      </c>
      <c r="F204" s="4" t="n">
        <v>1043995.76</v>
      </c>
      <c r="G204" s="4" t="n">
        <v>864676.59</v>
      </c>
      <c r="H204" s="4" t="n">
        <v>179319.17</v>
      </c>
      <c r="I204" s="4" t="n">
        <v>0.1718</v>
      </c>
      <c r="J204" s="4" t="n">
        <v>0.99</v>
      </c>
      <c r="K204" s="4" t="n">
        <v>42</v>
      </c>
      <c r="L204" s="4" t="n">
        <v>60</v>
      </c>
      <c r="M204" s="4" t="n">
        <v>8</v>
      </c>
      <c r="N204" s="4" t="n">
        <v>1</v>
      </c>
    </row>
    <row r="205" customFormat="false" ht="15" hidden="false" customHeight="false" outlineLevel="0" collapsed="false">
      <c r="A205" s="4" t="s">
        <v>547</v>
      </c>
      <c r="B205" s="4" t="s">
        <v>184</v>
      </c>
      <c r="C205" s="4" t="s">
        <v>310</v>
      </c>
      <c r="D205" s="4" t="n">
        <v>17159.85</v>
      </c>
      <c r="E205" s="4" t="n">
        <v>0.1091</v>
      </c>
      <c r="F205" s="4" t="n">
        <v>15286.99</v>
      </c>
      <c r="G205" s="4" t="n">
        <v>12166.07</v>
      </c>
      <c r="H205" s="4" t="n">
        <v>3120.92</v>
      </c>
      <c r="I205" s="4" t="n">
        <v>0.2042</v>
      </c>
      <c r="J205" s="4" t="n">
        <v>1.071</v>
      </c>
      <c r="K205" s="4" t="n">
        <v>88</v>
      </c>
      <c r="L205" s="4" t="n">
        <v>30</v>
      </c>
      <c r="M205" s="4" t="n">
        <v>1</v>
      </c>
      <c r="N205" s="4" t="n">
        <v>0</v>
      </c>
    </row>
    <row r="206" customFormat="false" ht="15" hidden="false" customHeight="false" outlineLevel="0" collapsed="false">
      <c r="A206" s="4" t="s">
        <v>548</v>
      </c>
      <c r="B206" s="4" t="s">
        <v>104</v>
      </c>
      <c r="C206" s="4" t="s">
        <v>274</v>
      </c>
      <c r="D206" s="4" t="n">
        <v>1419893.28</v>
      </c>
      <c r="E206" s="4" t="n">
        <v>0.0441</v>
      </c>
      <c r="F206" s="4" t="n">
        <v>1357299.18</v>
      </c>
      <c r="G206" s="4" t="n">
        <v>1117155.44</v>
      </c>
      <c r="H206" s="4" t="n">
        <v>240143.74</v>
      </c>
      <c r="I206" s="4" t="n">
        <v>0.1769</v>
      </c>
      <c r="J206" s="4" t="n">
        <v>0.965</v>
      </c>
      <c r="K206" s="4" t="n">
        <v>50</v>
      </c>
      <c r="L206" s="4" t="n">
        <v>30</v>
      </c>
      <c r="M206" s="4" t="n">
        <v>0</v>
      </c>
      <c r="N206" s="4" t="n">
        <v>0</v>
      </c>
    </row>
    <row r="207" customFormat="false" ht="15" hidden="false" customHeight="false" outlineLevel="0" collapsed="false">
      <c r="A207" s="4" t="s">
        <v>549</v>
      </c>
      <c r="B207" s="4" t="s">
        <v>190</v>
      </c>
      <c r="C207" s="4" t="s">
        <v>302</v>
      </c>
      <c r="D207" s="4" t="n">
        <v>68512.32</v>
      </c>
      <c r="E207" s="4" t="n">
        <v>0.2021</v>
      </c>
      <c r="F207" s="4" t="n">
        <v>54666.63</v>
      </c>
      <c r="G207" s="4" t="n">
        <v>53970.84</v>
      </c>
      <c r="H207" s="4" t="n">
        <v>695.79</v>
      </c>
      <c r="I207" s="4" t="n">
        <v>0.0127</v>
      </c>
      <c r="J207" s="4" t="n">
        <v>1.014</v>
      </c>
      <c r="K207" s="4" t="n">
        <v>54</v>
      </c>
      <c r="L207" s="4" t="n">
        <v>45</v>
      </c>
      <c r="M207" s="4" t="n">
        <v>9</v>
      </c>
      <c r="N207" s="4" t="n">
        <v>1</v>
      </c>
    </row>
    <row r="208" customFormat="false" ht="15" hidden="false" customHeight="false" outlineLevel="0" collapsed="false">
      <c r="A208" s="4" t="s">
        <v>550</v>
      </c>
      <c r="B208" s="4" t="s">
        <v>146</v>
      </c>
      <c r="C208" s="4" t="s">
        <v>330</v>
      </c>
      <c r="D208" s="4" t="n">
        <v>10752.24</v>
      </c>
      <c r="E208" s="4" t="n">
        <v>0.135</v>
      </c>
      <c r="F208" s="4" t="n">
        <v>9301.2</v>
      </c>
      <c r="G208" s="4" t="n">
        <v>7842.41</v>
      </c>
      <c r="H208" s="4" t="n">
        <v>1458.79</v>
      </c>
      <c r="I208" s="4" t="n">
        <v>0.1568</v>
      </c>
      <c r="J208" s="4" t="n">
        <v>1.017</v>
      </c>
      <c r="K208" s="4" t="n">
        <v>28</v>
      </c>
      <c r="L208" s="4" t="n">
        <v>60</v>
      </c>
      <c r="M208" s="4" t="n">
        <v>9</v>
      </c>
      <c r="N208" s="4" t="n">
        <v>1</v>
      </c>
    </row>
    <row r="209" customFormat="false" ht="15" hidden="false" customHeight="false" outlineLevel="0" collapsed="false">
      <c r="A209" s="4" t="s">
        <v>551</v>
      </c>
      <c r="B209" s="4" t="s">
        <v>63</v>
      </c>
      <c r="C209" s="4" t="s">
        <v>292</v>
      </c>
      <c r="D209" s="4" t="n">
        <v>100318.18</v>
      </c>
      <c r="E209" s="4" t="n">
        <v>0</v>
      </c>
      <c r="F209" s="4" t="n">
        <v>100318.18</v>
      </c>
      <c r="G209" s="4" t="n">
        <v>74121.68</v>
      </c>
      <c r="H209" s="4" t="n">
        <v>26196.5</v>
      </c>
      <c r="I209" s="4" t="n">
        <v>0.2611</v>
      </c>
      <c r="J209" s="4" t="n">
        <v>0.899</v>
      </c>
      <c r="K209" s="4" t="n">
        <v>70</v>
      </c>
      <c r="L209" s="4" t="n">
        <v>30</v>
      </c>
      <c r="M209" s="4" t="n">
        <v>0</v>
      </c>
      <c r="N209" s="4" t="n">
        <v>1</v>
      </c>
    </row>
    <row r="210" customFormat="false" ht="15" hidden="false" customHeight="false" outlineLevel="0" collapsed="false">
      <c r="A210" s="4" t="s">
        <v>552</v>
      </c>
      <c r="B210" s="4" t="s">
        <v>224</v>
      </c>
      <c r="C210" s="4" t="s">
        <v>268</v>
      </c>
      <c r="D210" s="4" t="n">
        <v>1663660.12</v>
      </c>
      <c r="E210" s="4" t="n">
        <v>0.135</v>
      </c>
      <c r="F210" s="4" t="n">
        <v>1439122.07</v>
      </c>
      <c r="G210" s="4" t="n">
        <v>1324069.32</v>
      </c>
      <c r="H210" s="4" t="n">
        <v>115052.75</v>
      </c>
      <c r="I210" s="4" t="n">
        <v>0.0799</v>
      </c>
      <c r="J210" s="4" t="n">
        <v>0.907</v>
      </c>
      <c r="K210" s="4" t="n">
        <v>41</v>
      </c>
      <c r="L210" s="4" t="n">
        <v>30</v>
      </c>
      <c r="M210" s="4" t="n">
        <v>11</v>
      </c>
      <c r="N210" s="4" t="n">
        <v>0</v>
      </c>
    </row>
    <row r="211" customFormat="false" ht="15" hidden="false" customHeight="false" outlineLevel="0" collapsed="false">
      <c r="A211" s="4" t="s">
        <v>553</v>
      </c>
      <c r="B211" s="4" t="s">
        <v>236</v>
      </c>
      <c r="C211" s="4" t="s">
        <v>268</v>
      </c>
      <c r="D211" s="4" t="n">
        <v>1663660.12</v>
      </c>
      <c r="E211" s="4" t="n">
        <v>0.1479</v>
      </c>
      <c r="F211" s="4" t="n">
        <v>1417656.61</v>
      </c>
      <c r="G211" s="4" t="n">
        <v>1324069.32</v>
      </c>
      <c r="H211" s="4" t="n">
        <v>93587.29</v>
      </c>
      <c r="I211" s="4" t="n">
        <v>0.066</v>
      </c>
      <c r="J211" s="4" t="n">
        <v>0.937</v>
      </c>
      <c r="K211" s="4" t="n">
        <v>96</v>
      </c>
      <c r="L211" s="4" t="n">
        <v>60</v>
      </c>
      <c r="M211" s="4" t="n">
        <v>9</v>
      </c>
      <c r="N211" s="4" t="n">
        <v>0</v>
      </c>
    </row>
    <row r="212" customFormat="false" ht="15" hidden="false" customHeight="false" outlineLevel="0" collapsed="false">
      <c r="A212" s="4" t="s">
        <v>554</v>
      </c>
      <c r="B212" s="4" t="s">
        <v>88</v>
      </c>
      <c r="C212" s="4" t="s">
        <v>314</v>
      </c>
      <c r="D212" s="4" t="n">
        <v>1248776.79</v>
      </c>
      <c r="E212" s="4" t="n">
        <v>0.0367</v>
      </c>
      <c r="F212" s="4" t="n">
        <v>1202947.71</v>
      </c>
      <c r="G212" s="4" t="n">
        <v>864676.59</v>
      </c>
      <c r="H212" s="4" t="n">
        <v>338271.12</v>
      </c>
      <c r="I212" s="4" t="n">
        <v>0.2812</v>
      </c>
      <c r="J212" s="4" t="n">
        <v>0.958</v>
      </c>
      <c r="K212" s="4" t="n">
        <v>75</v>
      </c>
      <c r="L212" s="4" t="n">
        <v>45</v>
      </c>
      <c r="M212" s="4" t="n">
        <v>4</v>
      </c>
      <c r="N212" s="4" t="n">
        <v>0</v>
      </c>
    </row>
    <row r="213" customFormat="false" ht="15" hidden="false" customHeight="false" outlineLevel="0" collapsed="false">
      <c r="A213" s="4" t="s">
        <v>555</v>
      </c>
      <c r="B213" s="4" t="s">
        <v>250</v>
      </c>
      <c r="C213" s="4" t="s">
        <v>308</v>
      </c>
      <c r="D213" s="4" t="n">
        <v>69771.65</v>
      </c>
      <c r="E213" s="4" t="n">
        <v>0.0926</v>
      </c>
      <c r="F213" s="4" t="n">
        <v>63311.5</v>
      </c>
      <c r="G213" s="4" t="n">
        <v>61140.5</v>
      </c>
      <c r="H213" s="4" t="n">
        <v>2171</v>
      </c>
      <c r="I213" s="4" t="n">
        <v>0.0343</v>
      </c>
      <c r="J213" s="4" t="n">
        <v>0.897</v>
      </c>
      <c r="K213" s="4" t="n">
        <v>43</v>
      </c>
      <c r="L213" s="4" t="n">
        <v>30</v>
      </c>
      <c r="M213" s="4" t="n">
        <v>11</v>
      </c>
      <c r="N213" s="4" t="n">
        <v>0</v>
      </c>
    </row>
    <row r="214" customFormat="false" ht="15" hidden="false" customHeight="false" outlineLevel="0" collapsed="false">
      <c r="A214" s="4" t="s">
        <v>556</v>
      </c>
      <c r="B214" s="4" t="s">
        <v>82</v>
      </c>
      <c r="C214" s="4" t="s">
        <v>322</v>
      </c>
      <c r="D214" s="4" t="n">
        <v>49655.27</v>
      </c>
      <c r="E214" s="4" t="n">
        <v>0.1054</v>
      </c>
      <c r="F214" s="4" t="n">
        <v>44419.58</v>
      </c>
      <c r="G214" s="4" t="n">
        <v>38930.3</v>
      </c>
      <c r="H214" s="4" t="n">
        <v>5489.28</v>
      </c>
      <c r="I214" s="4" t="n">
        <v>0.1236</v>
      </c>
      <c r="J214" s="4" t="n">
        <v>0.947</v>
      </c>
      <c r="K214" s="4" t="n">
        <v>56</v>
      </c>
      <c r="L214" s="4" t="n">
        <v>60</v>
      </c>
      <c r="M214" s="4" t="n">
        <v>0</v>
      </c>
      <c r="N214" s="4" t="n">
        <v>1</v>
      </c>
    </row>
    <row r="215" customFormat="false" ht="15" hidden="false" customHeight="false" outlineLevel="0" collapsed="false">
      <c r="A215" s="4" t="s">
        <v>557</v>
      </c>
      <c r="B215" s="4" t="s">
        <v>82</v>
      </c>
      <c r="C215" s="4" t="s">
        <v>316</v>
      </c>
      <c r="D215" s="4" t="n">
        <v>716900.2</v>
      </c>
      <c r="E215" s="4" t="n">
        <v>0.1024</v>
      </c>
      <c r="F215" s="4" t="n">
        <v>643502.08</v>
      </c>
      <c r="G215" s="4" t="n">
        <v>456455.56</v>
      </c>
      <c r="H215" s="4" t="n">
        <v>187046.52</v>
      </c>
      <c r="I215" s="4" t="n">
        <v>0.2907</v>
      </c>
      <c r="J215" s="4" t="n">
        <v>1.044</v>
      </c>
      <c r="K215" s="4" t="n">
        <v>64</v>
      </c>
      <c r="L215" s="4" t="n">
        <v>120</v>
      </c>
      <c r="M215" s="4" t="n">
        <v>1</v>
      </c>
      <c r="N215" s="4" t="n">
        <v>0</v>
      </c>
    </row>
    <row r="216" customFormat="false" ht="15" hidden="false" customHeight="false" outlineLevel="0" collapsed="false">
      <c r="A216" s="4" t="s">
        <v>558</v>
      </c>
      <c r="B216" s="4" t="s">
        <v>216</v>
      </c>
      <c r="C216" s="4" t="s">
        <v>326</v>
      </c>
      <c r="D216" s="4" t="n">
        <v>339449.28</v>
      </c>
      <c r="E216" s="4" t="n">
        <v>0.1164</v>
      </c>
      <c r="F216" s="4" t="n">
        <v>299930.29</v>
      </c>
      <c r="G216" s="4" t="n">
        <v>218901.92</v>
      </c>
      <c r="H216" s="4" t="n">
        <v>81028.37</v>
      </c>
      <c r="I216" s="4" t="n">
        <v>0.2702</v>
      </c>
      <c r="J216" s="4" t="n">
        <v>0.946</v>
      </c>
      <c r="K216" s="4" t="n">
        <v>61</v>
      </c>
      <c r="L216" s="4" t="n">
        <v>30</v>
      </c>
      <c r="M216" s="4" t="n">
        <v>3</v>
      </c>
      <c r="N216" s="4" t="n">
        <v>1</v>
      </c>
    </row>
    <row r="217" customFormat="false" ht="15" hidden="false" customHeight="false" outlineLevel="0" collapsed="false">
      <c r="A217" s="4" t="s">
        <v>559</v>
      </c>
      <c r="B217" s="4" t="s">
        <v>182</v>
      </c>
      <c r="C217" s="4" t="s">
        <v>308</v>
      </c>
      <c r="D217" s="4" t="n">
        <v>27908.66</v>
      </c>
      <c r="E217" s="4" t="n">
        <v>0.1288</v>
      </c>
      <c r="F217" s="4" t="n">
        <v>24314.46</v>
      </c>
      <c r="G217" s="4" t="n">
        <v>24456.2</v>
      </c>
      <c r="H217" s="4" t="n">
        <v>-141.74</v>
      </c>
      <c r="I217" s="4" t="n">
        <v>-0.0058</v>
      </c>
      <c r="J217" s="4" t="n">
        <v>1.043</v>
      </c>
      <c r="K217" s="4" t="n">
        <v>99</v>
      </c>
      <c r="L217" s="4" t="n">
        <v>30</v>
      </c>
      <c r="M217" s="4" t="n">
        <v>17</v>
      </c>
      <c r="N217" s="4" t="n">
        <v>1</v>
      </c>
    </row>
    <row r="218" customFormat="false" ht="15" hidden="false" customHeight="false" outlineLevel="0" collapsed="false">
      <c r="A218" s="4" t="s">
        <v>560</v>
      </c>
      <c r="B218" s="4" t="s">
        <v>216</v>
      </c>
      <c r="C218" s="4" t="s">
        <v>287</v>
      </c>
      <c r="D218" s="4" t="n">
        <v>20599.16</v>
      </c>
      <c r="E218" s="4" t="n">
        <v>0.1016</v>
      </c>
      <c r="F218" s="4" t="n">
        <v>18505.95</v>
      </c>
      <c r="G218" s="4" t="n">
        <v>18282.84</v>
      </c>
      <c r="H218" s="4" t="n">
        <v>223.11</v>
      </c>
      <c r="I218" s="4" t="n">
        <v>0.0121</v>
      </c>
      <c r="J218" s="4" t="n">
        <v>1.067</v>
      </c>
      <c r="K218" s="4" t="n">
        <v>57</v>
      </c>
      <c r="L218" s="4" t="n">
        <v>60</v>
      </c>
      <c r="M218" s="4" t="n">
        <v>7</v>
      </c>
      <c r="N218" s="4" t="n">
        <v>0</v>
      </c>
    </row>
    <row r="219" customFormat="false" ht="15" hidden="false" customHeight="false" outlineLevel="0" collapsed="false">
      <c r="A219" s="4" t="s">
        <v>561</v>
      </c>
      <c r="B219" s="4" t="s">
        <v>120</v>
      </c>
      <c r="C219" s="4" t="s">
        <v>330</v>
      </c>
      <c r="D219" s="4" t="n">
        <v>43008.96</v>
      </c>
      <c r="E219" s="4" t="n">
        <v>0.0814</v>
      </c>
      <c r="F219" s="4" t="n">
        <v>39506.96</v>
      </c>
      <c r="G219" s="4" t="n">
        <v>31369.64</v>
      </c>
      <c r="H219" s="4" t="n">
        <v>8137.32</v>
      </c>
      <c r="I219" s="4" t="n">
        <v>0.206</v>
      </c>
      <c r="J219" s="4" t="n">
        <v>0.989</v>
      </c>
      <c r="K219" s="4" t="n">
        <v>37</v>
      </c>
      <c r="L219" s="4" t="n">
        <v>45</v>
      </c>
      <c r="M219" s="4" t="n">
        <v>14</v>
      </c>
      <c r="N219" s="4" t="n">
        <v>1</v>
      </c>
    </row>
    <row r="220" customFormat="false" ht="15" hidden="false" customHeight="false" outlineLevel="0" collapsed="false">
      <c r="A220" s="4" t="s">
        <v>562</v>
      </c>
      <c r="B220" s="4" t="s">
        <v>126</v>
      </c>
      <c r="C220" s="4" t="s">
        <v>271</v>
      </c>
      <c r="D220" s="4" t="n">
        <v>2061492.09</v>
      </c>
      <c r="E220" s="4" t="n">
        <v>0.0954</v>
      </c>
      <c r="F220" s="4" t="n">
        <v>1864781.2</v>
      </c>
      <c r="G220" s="4" t="n">
        <v>1588508.28</v>
      </c>
      <c r="H220" s="4" t="n">
        <v>276272.92</v>
      </c>
      <c r="I220" s="4" t="n">
        <v>0.1482</v>
      </c>
      <c r="J220" s="4" t="n">
        <v>1.044</v>
      </c>
      <c r="K220" s="4" t="n">
        <v>71</v>
      </c>
      <c r="L220" s="4" t="n">
        <v>45</v>
      </c>
      <c r="M220" s="4" t="n">
        <v>2</v>
      </c>
      <c r="N220" s="4" t="n">
        <v>0</v>
      </c>
    </row>
    <row r="221" customFormat="false" ht="15" hidden="false" customHeight="false" outlineLevel="0" collapsed="false">
      <c r="A221" s="4" t="s">
        <v>563</v>
      </c>
      <c r="B221" s="4" t="s">
        <v>86</v>
      </c>
      <c r="C221" s="4" t="s">
        <v>328</v>
      </c>
      <c r="D221" s="4" t="n">
        <v>71384.82</v>
      </c>
      <c r="E221" s="4" t="n">
        <v>0.07</v>
      </c>
      <c r="F221" s="4" t="n">
        <v>66386.61</v>
      </c>
      <c r="G221" s="4" t="n">
        <v>46750.65</v>
      </c>
      <c r="H221" s="4" t="n">
        <v>19635.96</v>
      </c>
      <c r="I221" s="4" t="n">
        <v>0.2958</v>
      </c>
      <c r="J221" s="4" t="n">
        <v>0.927</v>
      </c>
      <c r="K221" s="4" t="n">
        <v>36</v>
      </c>
      <c r="L221" s="4" t="n">
        <v>60</v>
      </c>
      <c r="M221" s="4" t="n">
        <v>8</v>
      </c>
      <c r="N221" s="4" t="n">
        <v>0</v>
      </c>
    </row>
    <row r="222" customFormat="false" ht="15" hidden="false" customHeight="false" outlineLevel="0" collapsed="false">
      <c r="A222" s="4" t="s">
        <v>564</v>
      </c>
      <c r="B222" s="4" t="s">
        <v>176</v>
      </c>
      <c r="C222" s="4" t="s">
        <v>324</v>
      </c>
      <c r="D222" s="4" t="n">
        <v>72206.62</v>
      </c>
      <c r="E222" s="4" t="n">
        <v>0.0009</v>
      </c>
      <c r="F222" s="4" t="n">
        <v>72139.07</v>
      </c>
      <c r="G222" s="4" t="n">
        <v>53064.68</v>
      </c>
      <c r="H222" s="4" t="n">
        <v>19074.39</v>
      </c>
      <c r="I222" s="4" t="n">
        <v>0.2644</v>
      </c>
      <c r="J222" s="4" t="n">
        <v>1.069</v>
      </c>
      <c r="K222" s="4" t="n">
        <v>63</v>
      </c>
      <c r="L222" s="4" t="n">
        <v>45</v>
      </c>
      <c r="M222" s="4" t="n">
        <v>5</v>
      </c>
      <c r="N222" s="4" t="n">
        <v>0</v>
      </c>
    </row>
    <row r="223" customFormat="false" ht="15" hidden="false" customHeight="false" outlineLevel="0" collapsed="false">
      <c r="A223" s="4" t="s">
        <v>565</v>
      </c>
      <c r="B223" s="4" t="s">
        <v>148</v>
      </c>
      <c r="C223" s="4" t="s">
        <v>271</v>
      </c>
      <c r="D223" s="4" t="n">
        <v>687164.03</v>
      </c>
      <c r="E223" s="4" t="n">
        <v>0.0189</v>
      </c>
      <c r="F223" s="4" t="n">
        <v>674178.49</v>
      </c>
      <c r="G223" s="4" t="n">
        <v>529502.76</v>
      </c>
      <c r="H223" s="4" t="n">
        <v>144675.73</v>
      </c>
      <c r="I223" s="4" t="n">
        <v>0.2146</v>
      </c>
      <c r="J223" s="4" t="n">
        <v>1.045</v>
      </c>
      <c r="K223" s="4" t="n">
        <v>63</v>
      </c>
      <c r="L223" s="4" t="n">
        <v>30</v>
      </c>
      <c r="M223" s="4" t="n">
        <v>0</v>
      </c>
      <c r="N223" s="4" t="n">
        <v>1</v>
      </c>
    </row>
    <row r="224" customFormat="false" ht="15" hidden="false" customHeight="false" outlineLevel="0" collapsed="false">
      <c r="A224" s="4" t="s">
        <v>566</v>
      </c>
      <c r="B224" s="4" t="s">
        <v>42</v>
      </c>
      <c r="C224" s="4" t="s">
        <v>300</v>
      </c>
      <c r="D224" s="4" t="n">
        <v>121888.25</v>
      </c>
      <c r="E224" s="4" t="n">
        <v>0.0089</v>
      </c>
      <c r="F224" s="4" t="n">
        <v>120803.76</v>
      </c>
      <c r="G224" s="4" t="n">
        <v>100813.7</v>
      </c>
      <c r="H224" s="4" t="n">
        <v>19990.06</v>
      </c>
      <c r="I224" s="4" t="n">
        <v>0.1655</v>
      </c>
      <c r="J224" s="4" t="n">
        <v>0.934</v>
      </c>
      <c r="K224" s="4" t="n">
        <v>61</v>
      </c>
      <c r="L224" s="4" t="n">
        <v>120</v>
      </c>
      <c r="M224" s="4" t="n">
        <v>3</v>
      </c>
      <c r="N224" s="4" t="n">
        <v>0</v>
      </c>
    </row>
    <row r="225" customFormat="false" ht="15" hidden="false" customHeight="false" outlineLevel="0" collapsed="false">
      <c r="A225" s="4" t="s">
        <v>567</v>
      </c>
      <c r="B225" s="4" t="s">
        <v>120</v>
      </c>
      <c r="C225" s="4" t="s">
        <v>290</v>
      </c>
      <c r="D225" s="4" t="n">
        <v>14248.41</v>
      </c>
      <c r="E225" s="4" t="n">
        <v>0.0502</v>
      </c>
      <c r="F225" s="4" t="n">
        <v>13533.46</v>
      </c>
      <c r="G225" s="4" t="n">
        <v>10282.5</v>
      </c>
      <c r="H225" s="4" t="n">
        <v>3250.96</v>
      </c>
      <c r="I225" s="4" t="n">
        <v>0.2402</v>
      </c>
      <c r="J225" s="4" t="n">
        <v>1.082</v>
      </c>
      <c r="K225" s="4" t="n">
        <v>41</v>
      </c>
      <c r="L225" s="4" t="n">
        <v>90</v>
      </c>
      <c r="M225" s="4" t="n">
        <v>6</v>
      </c>
      <c r="N225" s="4" t="n">
        <v>1</v>
      </c>
    </row>
    <row r="226" customFormat="false" ht="15" hidden="false" customHeight="false" outlineLevel="0" collapsed="false">
      <c r="A226" s="4" t="s">
        <v>568</v>
      </c>
      <c r="B226" s="4" t="s">
        <v>82</v>
      </c>
      <c r="C226" s="4" t="s">
        <v>290</v>
      </c>
      <c r="D226" s="4" t="n">
        <v>23747.35</v>
      </c>
      <c r="E226" s="4" t="n">
        <v>0.0509</v>
      </c>
      <c r="F226" s="4" t="n">
        <v>22539.61</v>
      </c>
      <c r="G226" s="4" t="n">
        <v>17137.5</v>
      </c>
      <c r="H226" s="4" t="n">
        <v>5402.11</v>
      </c>
      <c r="I226" s="4" t="n">
        <v>0.2397</v>
      </c>
      <c r="J226" s="4" t="n">
        <v>1.038</v>
      </c>
      <c r="K226" s="4" t="n">
        <v>66</v>
      </c>
      <c r="L226" s="4" t="n">
        <v>30</v>
      </c>
      <c r="M226" s="4" t="n">
        <v>0</v>
      </c>
      <c r="N226" s="4" t="n">
        <v>0</v>
      </c>
    </row>
    <row r="227" customFormat="false" ht="15" hidden="false" customHeight="false" outlineLevel="0" collapsed="false">
      <c r="A227" s="4" t="s">
        <v>569</v>
      </c>
      <c r="B227" s="4" t="s">
        <v>74</v>
      </c>
      <c r="C227" s="4" t="s">
        <v>265</v>
      </c>
      <c r="D227" s="4" t="n">
        <v>766662.8</v>
      </c>
      <c r="E227" s="4" t="n">
        <v>0.1167</v>
      </c>
      <c r="F227" s="4" t="n">
        <v>677187.57</v>
      </c>
      <c r="G227" s="4" t="n">
        <v>543009.32</v>
      </c>
      <c r="H227" s="4" t="n">
        <v>134178.25</v>
      </c>
      <c r="I227" s="4" t="n">
        <v>0.1981</v>
      </c>
      <c r="J227" s="4" t="n">
        <v>0.918</v>
      </c>
      <c r="K227" s="4" t="n">
        <v>80</v>
      </c>
      <c r="L227" s="4" t="n">
        <v>45</v>
      </c>
      <c r="M227" s="4" t="n">
        <v>0</v>
      </c>
      <c r="N227" s="4" t="n">
        <v>1</v>
      </c>
    </row>
    <row r="228" customFormat="false" ht="15" hidden="false" customHeight="false" outlineLevel="0" collapsed="false">
      <c r="A228" s="4" t="s">
        <v>570</v>
      </c>
      <c r="B228" s="4" t="s">
        <v>162</v>
      </c>
      <c r="C228" s="4" t="s">
        <v>300</v>
      </c>
      <c r="D228" s="4" t="n">
        <v>48755.3</v>
      </c>
      <c r="E228" s="4" t="n">
        <v>0.1633</v>
      </c>
      <c r="F228" s="4" t="n">
        <v>40791.16</v>
      </c>
      <c r="G228" s="4" t="n">
        <v>40325.48</v>
      </c>
      <c r="H228" s="4" t="n">
        <v>465.68</v>
      </c>
      <c r="I228" s="4" t="n">
        <v>0.0114</v>
      </c>
      <c r="J228" s="4" t="n">
        <v>1.007</v>
      </c>
      <c r="K228" s="4" t="n">
        <v>26</v>
      </c>
      <c r="L228" s="4" t="n">
        <v>45</v>
      </c>
      <c r="M228" s="4" t="n">
        <v>4</v>
      </c>
      <c r="N228" s="4" t="n">
        <v>0</v>
      </c>
    </row>
    <row r="229" customFormat="false" ht="15" hidden="false" customHeight="false" outlineLevel="0" collapsed="false">
      <c r="A229" s="4" t="s">
        <v>571</v>
      </c>
      <c r="B229" s="4" t="s">
        <v>150</v>
      </c>
      <c r="C229" s="4" t="s">
        <v>300</v>
      </c>
      <c r="D229" s="4" t="n">
        <v>48755.3</v>
      </c>
      <c r="E229" s="4" t="n">
        <v>0.0829</v>
      </c>
      <c r="F229" s="4" t="n">
        <v>44715.31</v>
      </c>
      <c r="G229" s="4" t="n">
        <v>40325.48</v>
      </c>
      <c r="H229" s="4" t="n">
        <v>4389.83</v>
      </c>
      <c r="I229" s="4" t="n">
        <v>0.0982</v>
      </c>
      <c r="J229" s="4" t="n">
        <v>1.049</v>
      </c>
      <c r="K229" s="4" t="n">
        <v>30</v>
      </c>
      <c r="L229" s="4" t="n">
        <v>30</v>
      </c>
      <c r="M229" s="4" t="n">
        <v>9</v>
      </c>
      <c r="N229" s="4" t="n">
        <v>1</v>
      </c>
    </row>
    <row r="230" customFormat="false" ht="15" hidden="false" customHeight="false" outlineLevel="0" collapsed="false">
      <c r="A230" s="4" t="s">
        <v>572</v>
      </c>
      <c r="B230" s="4" t="s">
        <v>76</v>
      </c>
      <c r="C230" s="4" t="s">
        <v>328</v>
      </c>
      <c r="D230" s="4" t="n">
        <v>118974.7</v>
      </c>
      <c r="E230" s="4" t="n">
        <v>0.1178</v>
      </c>
      <c r="F230" s="4" t="n">
        <v>104960.71</v>
      </c>
      <c r="G230" s="4" t="n">
        <v>77917.75</v>
      </c>
      <c r="H230" s="4" t="n">
        <v>27042.96</v>
      </c>
      <c r="I230" s="4" t="n">
        <v>0.2576</v>
      </c>
      <c r="J230" s="4" t="n">
        <v>1.088</v>
      </c>
      <c r="K230" s="4" t="n">
        <v>74</v>
      </c>
      <c r="L230" s="4" t="n">
        <v>30</v>
      </c>
      <c r="M230" s="4" t="n">
        <v>0</v>
      </c>
      <c r="N230" s="4" t="n">
        <v>1</v>
      </c>
    </row>
    <row r="231" customFormat="false" ht="15" hidden="false" customHeight="false" outlineLevel="0" collapsed="false">
      <c r="A231" s="4" t="s">
        <v>573</v>
      </c>
      <c r="B231" s="4" t="s">
        <v>240</v>
      </c>
      <c r="C231" s="4" t="s">
        <v>271</v>
      </c>
      <c r="D231" s="4" t="n">
        <v>687164.03</v>
      </c>
      <c r="E231" s="4" t="n">
        <v>0.087</v>
      </c>
      <c r="F231" s="4" t="n">
        <v>627396.5</v>
      </c>
      <c r="G231" s="4" t="n">
        <v>529502.76</v>
      </c>
      <c r="H231" s="4" t="n">
        <v>97893.74</v>
      </c>
      <c r="I231" s="4" t="n">
        <v>0.156</v>
      </c>
      <c r="J231" s="4" t="n">
        <v>1.021</v>
      </c>
      <c r="K231" s="4" t="n">
        <v>69</v>
      </c>
      <c r="L231" s="4" t="n">
        <v>60</v>
      </c>
      <c r="M231" s="4" t="n">
        <v>0</v>
      </c>
      <c r="N231" s="4" t="n">
        <v>0</v>
      </c>
    </row>
    <row r="232" customFormat="false" ht="15" hidden="false" customHeight="false" outlineLevel="0" collapsed="false">
      <c r="A232" s="4" t="s">
        <v>574</v>
      </c>
      <c r="B232" s="4" t="s">
        <v>94</v>
      </c>
      <c r="C232" s="4" t="s">
        <v>322</v>
      </c>
      <c r="D232" s="4" t="n">
        <v>248276.35</v>
      </c>
      <c r="E232" s="4" t="n">
        <v>0.1285</v>
      </c>
      <c r="F232" s="4" t="n">
        <v>216380.57</v>
      </c>
      <c r="G232" s="4" t="n">
        <v>194651.5</v>
      </c>
      <c r="H232" s="4" t="n">
        <v>21729.07</v>
      </c>
      <c r="I232" s="4" t="n">
        <v>0.1004</v>
      </c>
      <c r="J232" s="4" t="n">
        <v>0.996</v>
      </c>
      <c r="K232" s="4" t="n">
        <v>31</v>
      </c>
      <c r="L232" s="4" t="n">
        <v>120</v>
      </c>
      <c r="M232" s="4" t="n">
        <v>4</v>
      </c>
      <c r="N232" s="4" t="n">
        <v>1</v>
      </c>
    </row>
    <row r="233" customFormat="false" ht="15" hidden="false" customHeight="false" outlineLevel="0" collapsed="false">
      <c r="A233" s="4" t="s">
        <v>575</v>
      </c>
      <c r="B233" s="4" t="s">
        <v>134</v>
      </c>
      <c r="C233" s="4" t="s">
        <v>271</v>
      </c>
      <c r="D233" s="4" t="n">
        <v>1374328.06</v>
      </c>
      <c r="E233" s="4" t="n">
        <v>0.1607</v>
      </c>
      <c r="F233" s="4" t="n">
        <v>1153452.81</v>
      </c>
      <c r="G233" s="4" t="n">
        <v>1059005.52</v>
      </c>
      <c r="H233" s="4" t="n">
        <v>94447.29</v>
      </c>
      <c r="I233" s="4" t="n">
        <v>0.0819</v>
      </c>
      <c r="J233" s="4" t="n">
        <v>0.93</v>
      </c>
      <c r="K233" s="4" t="n">
        <v>53</v>
      </c>
      <c r="L233" s="4" t="n">
        <v>90</v>
      </c>
      <c r="M233" s="4" t="n">
        <v>1</v>
      </c>
      <c r="N233" s="4" t="n">
        <v>1</v>
      </c>
    </row>
    <row r="234" customFormat="false" ht="15" hidden="false" customHeight="false" outlineLevel="0" collapsed="false">
      <c r="A234" s="4" t="s">
        <v>576</v>
      </c>
      <c r="B234" s="4" t="s">
        <v>90</v>
      </c>
      <c r="C234" s="4" t="s">
        <v>292</v>
      </c>
      <c r="D234" s="4" t="n">
        <v>401272.72</v>
      </c>
      <c r="E234" s="4" t="n">
        <v>0.1103</v>
      </c>
      <c r="F234" s="4" t="n">
        <v>357029.54</v>
      </c>
      <c r="G234" s="4" t="n">
        <v>296486.72</v>
      </c>
      <c r="H234" s="4" t="n">
        <v>60542.82</v>
      </c>
      <c r="I234" s="4" t="n">
        <v>0.1696</v>
      </c>
      <c r="J234" s="4" t="n">
        <v>0.78</v>
      </c>
      <c r="K234" s="4" t="n">
        <v>59</v>
      </c>
      <c r="L234" s="4" t="n">
        <v>60</v>
      </c>
      <c r="M234" s="4" t="n">
        <v>0</v>
      </c>
      <c r="N234" s="4" t="n">
        <v>1</v>
      </c>
    </row>
    <row r="235" customFormat="false" ht="15" hidden="false" customHeight="false" outlineLevel="0" collapsed="false">
      <c r="A235" s="4" t="s">
        <v>577</v>
      </c>
      <c r="B235" s="4" t="s">
        <v>218</v>
      </c>
      <c r="C235" s="4" t="s">
        <v>324</v>
      </c>
      <c r="D235" s="4" t="n">
        <v>144413.24</v>
      </c>
      <c r="E235" s="4" t="n">
        <v>0.0771</v>
      </c>
      <c r="F235" s="4" t="n">
        <v>133275.21</v>
      </c>
      <c r="G235" s="4" t="n">
        <v>106129.36</v>
      </c>
      <c r="H235" s="4" t="n">
        <v>27145.85</v>
      </c>
      <c r="I235" s="4" t="n">
        <v>0.2037</v>
      </c>
      <c r="J235" s="4" t="n">
        <v>0.97</v>
      </c>
      <c r="K235" s="4" t="n">
        <v>21</v>
      </c>
      <c r="L235" s="4" t="n">
        <v>30</v>
      </c>
      <c r="M235" s="4" t="n">
        <v>6</v>
      </c>
      <c r="N235" s="4" t="n">
        <v>1</v>
      </c>
    </row>
    <row r="236" customFormat="false" ht="15" hidden="false" customHeight="false" outlineLevel="0" collapsed="false">
      <c r="A236" s="4" t="s">
        <v>578</v>
      </c>
      <c r="B236" s="4" t="s">
        <v>112</v>
      </c>
      <c r="C236" s="4" t="s">
        <v>292</v>
      </c>
      <c r="D236" s="4" t="n">
        <v>300954.54</v>
      </c>
      <c r="E236" s="4" t="n">
        <v>0.1612</v>
      </c>
      <c r="F236" s="4" t="n">
        <v>252446.36</v>
      </c>
      <c r="G236" s="4" t="n">
        <v>222365.04</v>
      </c>
      <c r="H236" s="4" t="n">
        <v>30081.32</v>
      </c>
      <c r="I236" s="4" t="n">
        <v>0.1192</v>
      </c>
      <c r="J236" s="4" t="n">
        <v>1.061</v>
      </c>
      <c r="K236" s="4" t="n">
        <v>48</v>
      </c>
      <c r="L236" s="4" t="n">
        <v>30</v>
      </c>
      <c r="M236" s="4" t="n">
        <v>3</v>
      </c>
      <c r="N236" s="4" t="n">
        <v>1</v>
      </c>
    </row>
    <row r="237" customFormat="false" ht="15" hidden="false" customHeight="false" outlineLevel="0" collapsed="false">
      <c r="A237" s="4" t="s">
        <v>579</v>
      </c>
      <c r="B237" s="4" t="s">
        <v>166</v>
      </c>
      <c r="C237" s="4" t="s">
        <v>322</v>
      </c>
      <c r="D237" s="4" t="n">
        <v>148965.81</v>
      </c>
      <c r="E237" s="4" t="n">
        <v>0.1037</v>
      </c>
      <c r="F237" s="4" t="n">
        <v>133523.58</v>
      </c>
      <c r="G237" s="4" t="n">
        <v>116790.9</v>
      </c>
      <c r="H237" s="4" t="n">
        <v>16732.68</v>
      </c>
      <c r="I237" s="4" t="n">
        <v>0.1253</v>
      </c>
      <c r="J237" s="4" t="n">
        <v>0.968</v>
      </c>
      <c r="K237" s="4" t="n">
        <v>29</v>
      </c>
      <c r="L237" s="4" t="n">
        <v>60</v>
      </c>
      <c r="M237" s="4" t="n">
        <v>3</v>
      </c>
      <c r="N237" s="4" t="n">
        <v>1</v>
      </c>
    </row>
    <row r="238" customFormat="false" ht="15" hidden="false" customHeight="false" outlineLevel="0" collapsed="false">
      <c r="A238" s="4" t="s">
        <v>580</v>
      </c>
      <c r="B238" s="4" t="s">
        <v>36</v>
      </c>
      <c r="C238" s="4" t="s">
        <v>324</v>
      </c>
      <c r="D238" s="4" t="n">
        <v>108309.93</v>
      </c>
      <c r="E238" s="4" t="n">
        <v>0.126</v>
      </c>
      <c r="F238" s="4" t="n">
        <v>94660.86</v>
      </c>
      <c r="G238" s="4" t="n">
        <v>79597.02</v>
      </c>
      <c r="H238" s="4" t="n">
        <v>15063.84</v>
      </c>
      <c r="I238" s="4" t="n">
        <v>0.1591</v>
      </c>
      <c r="J238" s="4" t="n">
        <v>1.035</v>
      </c>
      <c r="K238" s="4" t="n">
        <v>58</v>
      </c>
      <c r="L238" s="4" t="n">
        <v>45</v>
      </c>
      <c r="M238" s="4" t="n">
        <v>7</v>
      </c>
      <c r="N238" s="4" t="n">
        <v>0</v>
      </c>
    </row>
    <row r="239" customFormat="false" ht="15" hidden="false" customHeight="false" outlineLevel="0" collapsed="false">
      <c r="A239" s="4" t="s">
        <v>581</v>
      </c>
      <c r="B239" s="4" t="s">
        <v>53</v>
      </c>
      <c r="C239" s="4" t="s">
        <v>302</v>
      </c>
      <c r="D239" s="4" t="n">
        <v>51384.24</v>
      </c>
      <c r="E239" s="4" t="n">
        <v>0.1525</v>
      </c>
      <c r="F239" s="4" t="n">
        <v>43549.63</v>
      </c>
      <c r="G239" s="4" t="n">
        <v>40478.13</v>
      </c>
      <c r="H239" s="4" t="n">
        <v>3071.5</v>
      </c>
      <c r="I239" s="4" t="n">
        <v>0.0705</v>
      </c>
      <c r="J239" s="4" t="n">
        <v>1.078</v>
      </c>
      <c r="K239" s="4" t="n">
        <v>121</v>
      </c>
      <c r="L239" s="4" t="n">
        <v>120</v>
      </c>
      <c r="M239" s="4" t="n">
        <v>9</v>
      </c>
      <c r="N239" s="4" t="n">
        <v>1</v>
      </c>
    </row>
    <row r="240" customFormat="false" ht="15" hidden="false" customHeight="false" outlineLevel="0" collapsed="false">
      <c r="A240" s="4" t="s">
        <v>582</v>
      </c>
      <c r="B240" s="4" t="s">
        <v>166</v>
      </c>
      <c r="C240" s="4" t="s">
        <v>312</v>
      </c>
      <c r="D240" s="4" t="n">
        <v>783055.4</v>
      </c>
      <c r="E240" s="4" t="n">
        <v>0.0247</v>
      </c>
      <c r="F240" s="4" t="n">
        <v>763720.56</v>
      </c>
      <c r="G240" s="4" t="n">
        <v>516921.4</v>
      </c>
      <c r="H240" s="4" t="n">
        <v>246799.16</v>
      </c>
      <c r="I240" s="4" t="n">
        <v>0.3232</v>
      </c>
      <c r="J240" s="4" t="n">
        <v>1.052</v>
      </c>
      <c r="K240" s="4" t="n">
        <v>46</v>
      </c>
      <c r="L240" s="4" t="n">
        <v>30</v>
      </c>
      <c r="M240" s="4" t="n">
        <v>5</v>
      </c>
      <c r="N240" s="4" t="n">
        <v>0</v>
      </c>
    </row>
    <row r="241" customFormat="false" ht="15" hidden="false" customHeight="false" outlineLevel="0" collapsed="false">
      <c r="A241" s="4" t="s">
        <v>583</v>
      </c>
      <c r="B241" s="4" t="s">
        <v>162</v>
      </c>
      <c r="C241" s="4" t="s">
        <v>310</v>
      </c>
      <c r="D241" s="4" t="n">
        <v>17159.85</v>
      </c>
      <c r="E241" s="4" t="n">
        <v>0.0585</v>
      </c>
      <c r="F241" s="4" t="n">
        <v>16155.99</v>
      </c>
      <c r="G241" s="4" t="n">
        <v>12166.07</v>
      </c>
      <c r="H241" s="4" t="n">
        <v>3989.92</v>
      </c>
      <c r="I241" s="4" t="n">
        <v>0.247</v>
      </c>
      <c r="J241" s="4" t="n">
        <v>1.091</v>
      </c>
      <c r="K241" s="4" t="n">
        <v>75</v>
      </c>
      <c r="L241" s="4" t="n">
        <v>30</v>
      </c>
      <c r="M241" s="4" t="n">
        <v>0</v>
      </c>
      <c r="N241" s="4" t="n">
        <v>0</v>
      </c>
    </row>
    <row r="242" customFormat="false" ht="15" hidden="false" customHeight="false" outlineLevel="0" collapsed="false">
      <c r="A242" s="4" t="s">
        <v>584</v>
      </c>
      <c r="B242" s="4" t="s">
        <v>224</v>
      </c>
      <c r="C242" s="4" t="s">
        <v>271</v>
      </c>
      <c r="D242" s="4" t="n">
        <v>2061492.09</v>
      </c>
      <c r="E242" s="4" t="n">
        <v>0.1122</v>
      </c>
      <c r="F242" s="4" t="n">
        <v>1830202.37</v>
      </c>
      <c r="G242" s="4" t="n">
        <v>1588508.28</v>
      </c>
      <c r="H242" s="4" t="n">
        <v>241694.09</v>
      </c>
      <c r="I242" s="4" t="n">
        <v>0.1321</v>
      </c>
      <c r="J242" s="4" t="n">
        <v>1.047</v>
      </c>
      <c r="K242" s="4" t="n">
        <v>61</v>
      </c>
      <c r="L242" s="4" t="n">
        <v>90</v>
      </c>
      <c r="M242" s="4" t="n">
        <v>4</v>
      </c>
      <c r="N242" s="4" t="n">
        <v>1</v>
      </c>
    </row>
    <row r="243" customFormat="false" ht="15" hidden="false" customHeight="false" outlineLevel="0" collapsed="false">
      <c r="A243" s="4" t="s">
        <v>585</v>
      </c>
      <c r="B243" s="4" t="s">
        <v>220</v>
      </c>
      <c r="C243" s="4" t="s">
        <v>324</v>
      </c>
      <c r="D243" s="4" t="n">
        <v>108309.93</v>
      </c>
      <c r="E243" s="4" t="n">
        <v>0</v>
      </c>
      <c r="F243" s="4" t="n">
        <v>108309.93</v>
      </c>
      <c r="G243" s="4" t="n">
        <v>79597.02</v>
      </c>
      <c r="H243" s="4" t="n">
        <v>28712.91</v>
      </c>
      <c r="I243" s="4" t="n">
        <v>0.2651</v>
      </c>
      <c r="J243" s="4" t="n">
        <v>0.968</v>
      </c>
      <c r="K243" s="4" t="n">
        <v>61</v>
      </c>
      <c r="L243" s="4" t="n">
        <v>45</v>
      </c>
      <c r="M243" s="4" t="n">
        <v>2</v>
      </c>
      <c r="N243" s="4" t="n">
        <v>1</v>
      </c>
    </row>
    <row r="244" customFormat="false" ht="15" hidden="false" customHeight="false" outlineLevel="0" collapsed="false">
      <c r="A244" s="4" t="s">
        <v>586</v>
      </c>
      <c r="B244" s="4" t="s">
        <v>176</v>
      </c>
      <c r="C244" s="4" t="s">
        <v>281</v>
      </c>
      <c r="D244" s="4" t="n">
        <v>59634.99</v>
      </c>
      <c r="E244" s="4" t="n">
        <v>0.0716</v>
      </c>
      <c r="F244" s="4" t="n">
        <v>55365.63</v>
      </c>
      <c r="G244" s="4" t="n">
        <v>47482.86</v>
      </c>
      <c r="H244" s="4" t="n">
        <v>7882.77</v>
      </c>
      <c r="I244" s="4" t="n">
        <v>0.1424</v>
      </c>
      <c r="J244" s="4" t="n">
        <v>1.061</v>
      </c>
      <c r="K244" s="4" t="n">
        <v>93</v>
      </c>
      <c r="L244" s="4" t="n">
        <v>90</v>
      </c>
      <c r="M244" s="4" t="n">
        <v>0</v>
      </c>
      <c r="N244" s="4" t="n">
        <v>0</v>
      </c>
    </row>
    <row r="245" customFormat="false" ht="15" hidden="false" customHeight="false" outlineLevel="0" collapsed="false">
      <c r="A245" s="4" t="s">
        <v>587</v>
      </c>
      <c r="B245" s="4" t="s">
        <v>178</v>
      </c>
      <c r="C245" s="4" t="s">
        <v>274</v>
      </c>
      <c r="D245" s="4" t="n">
        <v>1064919.96</v>
      </c>
      <c r="E245" s="4" t="n">
        <v>0.1114</v>
      </c>
      <c r="F245" s="4" t="n">
        <v>946309.65</v>
      </c>
      <c r="G245" s="4" t="n">
        <v>837866.58</v>
      </c>
      <c r="H245" s="4" t="n">
        <v>108443.07</v>
      </c>
      <c r="I245" s="4" t="n">
        <v>0.1146</v>
      </c>
      <c r="J245" s="4" t="n">
        <v>1.043</v>
      </c>
      <c r="K245" s="4" t="n">
        <v>41</v>
      </c>
      <c r="L245" s="4" t="n">
        <v>90</v>
      </c>
      <c r="M245" s="4" t="n">
        <v>8</v>
      </c>
      <c r="N245" s="4" t="n">
        <v>0</v>
      </c>
    </row>
    <row r="246" customFormat="false" ht="15" hidden="false" customHeight="false" outlineLevel="0" collapsed="false">
      <c r="A246" s="4" t="s">
        <v>588</v>
      </c>
      <c r="B246" s="4" t="s">
        <v>198</v>
      </c>
      <c r="C246" s="4" t="s">
        <v>304</v>
      </c>
      <c r="D246" s="4" t="n">
        <v>82415.95</v>
      </c>
      <c r="E246" s="4" t="n">
        <v>0</v>
      </c>
      <c r="F246" s="4" t="n">
        <v>82415.95</v>
      </c>
      <c r="G246" s="4" t="n">
        <v>62682.1</v>
      </c>
      <c r="H246" s="4" t="n">
        <v>19733.85</v>
      </c>
      <c r="I246" s="4" t="n">
        <v>0.2394</v>
      </c>
      <c r="J246" s="4" t="n">
        <v>0.95</v>
      </c>
      <c r="K246" s="4" t="n">
        <v>49</v>
      </c>
      <c r="L246" s="4" t="n">
        <v>30</v>
      </c>
      <c r="M246" s="4" t="n">
        <v>4</v>
      </c>
      <c r="N246" s="4" t="n">
        <v>1</v>
      </c>
    </row>
    <row r="247" customFormat="false" ht="15" hidden="false" customHeight="false" outlineLevel="0" collapsed="false">
      <c r="A247" s="4" t="s">
        <v>589</v>
      </c>
      <c r="B247" s="4" t="s">
        <v>164</v>
      </c>
      <c r="C247" s="4" t="s">
        <v>306</v>
      </c>
      <c r="D247" s="4" t="n">
        <v>281158.05</v>
      </c>
      <c r="E247" s="4" t="n">
        <v>0.0848</v>
      </c>
      <c r="F247" s="4" t="n">
        <v>257322.76</v>
      </c>
      <c r="G247" s="4" t="n">
        <v>195317.94</v>
      </c>
      <c r="H247" s="4" t="n">
        <v>62004.82</v>
      </c>
      <c r="I247" s="4" t="n">
        <v>0.241</v>
      </c>
      <c r="J247" s="4" t="n">
        <v>0.926</v>
      </c>
      <c r="K247" s="4" t="n">
        <v>59</v>
      </c>
      <c r="L247" s="4" t="n">
        <v>45</v>
      </c>
      <c r="M247" s="4" t="n">
        <v>1</v>
      </c>
      <c r="N247" s="4" t="n">
        <v>1</v>
      </c>
    </row>
    <row r="248" customFormat="false" ht="15" hidden="false" customHeight="false" outlineLevel="0" collapsed="false">
      <c r="A248" s="4" t="s">
        <v>590</v>
      </c>
      <c r="B248" s="4" t="s">
        <v>47</v>
      </c>
      <c r="C248" s="4" t="s">
        <v>312</v>
      </c>
      <c r="D248" s="4" t="n">
        <v>626444.32</v>
      </c>
      <c r="E248" s="4" t="n">
        <v>0.0402</v>
      </c>
      <c r="F248" s="4" t="n">
        <v>601235.08</v>
      </c>
      <c r="G248" s="4" t="n">
        <v>413537.12</v>
      </c>
      <c r="H248" s="4" t="n">
        <v>187697.96</v>
      </c>
      <c r="I248" s="4" t="n">
        <v>0.3122</v>
      </c>
      <c r="J248" s="4" t="n">
        <v>0.877</v>
      </c>
      <c r="K248" s="4" t="n">
        <v>20</v>
      </c>
      <c r="L248" s="4" t="n">
        <v>60</v>
      </c>
      <c r="M248" s="4" t="n">
        <v>0</v>
      </c>
      <c r="N248" s="4" t="n">
        <v>1</v>
      </c>
    </row>
    <row r="249" customFormat="false" ht="15" hidden="false" customHeight="false" outlineLevel="0" collapsed="false">
      <c r="A249" s="4" t="s">
        <v>591</v>
      </c>
      <c r="B249" s="4" t="s">
        <v>204</v>
      </c>
      <c r="C249" s="4" t="s">
        <v>276</v>
      </c>
      <c r="D249" s="4" t="n">
        <v>243140</v>
      </c>
      <c r="E249" s="4" t="n">
        <v>0.0645</v>
      </c>
      <c r="F249" s="4" t="n">
        <v>227448</v>
      </c>
      <c r="G249" s="4" t="n">
        <v>161421.65</v>
      </c>
      <c r="H249" s="4" t="n">
        <v>66026.35</v>
      </c>
      <c r="I249" s="4" t="n">
        <v>0.2903</v>
      </c>
      <c r="J249" s="4" t="n">
        <v>0.923</v>
      </c>
      <c r="K249" s="4" t="n">
        <v>54</v>
      </c>
      <c r="L249" s="4" t="n">
        <v>30</v>
      </c>
      <c r="M249" s="4" t="n">
        <v>2</v>
      </c>
      <c r="N249" s="4" t="n">
        <v>1</v>
      </c>
    </row>
    <row r="250" customFormat="false" ht="15" hidden="false" customHeight="false" outlineLevel="0" collapsed="false">
      <c r="A250" s="4" t="s">
        <v>592</v>
      </c>
      <c r="B250" s="4" t="s">
        <v>148</v>
      </c>
      <c r="C250" s="4" t="s">
        <v>318</v>
      </c>
      <c r="D250" s="4" t="n">
        <v>1358034.76</v>
      </c>
      <c r="E250" s="4" t="n">
        <v>0.0758</v>
      </c>
      <c r="F250" s="4" t="n">
        <v>1255087.31</v>
      </c>
      <c r="G250" s="4" t="n">
        <v>1074640.64</v>
      </c>
      <c r="H250" s="4" t="n">
        <v>180446.67</v>
      </c>
      <c r="I250" s="4" t="n">
        <v>0.1438</v>
      </c>
      <c r="J250" s="4" t="n">
        <v>0.998</v>
      </c>
      <c r="K250" s="4" t="n">
        <v>39</v>
      </c>
      <c r="L250" s="4" t="n">
        <v>60</v>
      </c>
      <c r="M250" s="4" t="n">
        <v>0</v>
      </c>
      <c r="N250" s="4" t="n">
        <v>1</v>
      </c>
    </row>
    <row r="251" customFormat="false" ht="15" hidden="false" customHeight="false" outlineLevel="0" collapsed="false">
      <c r="A251" s="4" t="s">
        <v>593</v>
      </c>
      <c r="B251" s="4" t="s">
        <v>36</v>
      </c>
      <c r="C251" s="4" t="s">
        <v>318</v>
      </c>
      <c r="D251" s="4" t="n">
        <v>3395086.9</v>
      </c>
      <c r="E251" s="4" t="n">
        <v>0.0552</v>
      </c>
      <c r="F251" s="4" t="n">
        <v>3207623.59</v>
      </c>
      <c r="G251" s="4" t="n">
        <v>2686601.6</v>
      </c>
      <c r="H251" s="4" t="n">
        <v>521021.99</v>
      </c>
      <c r="I251" s="4" t="n">
        <v>0.1624</v>
      </c>
      <c r="J251" s="4" t="n">
        <v>0.916</v>
      </c>
      <c r="K251" s="4" t="n">
        <v>71</v>
      </c>
      <c r="L251" s="4" t="n">
        <v>45</v>
      </c>
      <c r="M251" s="4" t="n">
        <v>0</v>
      </c>
      <c r="N251" s="4" t="n">
        <v>1</v>
      </c>
    </row>
    <row r="252" customFormat="false" ht="15" hidden="false" customHeight="false" outlineLevel="0" collapsed="false">
      <c r="A252" s="4" t="s">
        <v>594</v>
      </c>
      <c r="B252" s="4" t="s">
        <v>214</v>
      </c>
      <c r="C252" s="4" t="s">
        <v>320</v>
      </c>
      <c r="D252" s="4" t="n">
        <v>121262.61</v>
      </c>
      <c r="E252" s="4" t="n">
        <v>0.1149</v>
      </c>
      <c r="F252" s="4" t="n">
        <v>107323.58</v>
      </c>
      <c r="G252" s="4" t="n">
        <v>85897.11</v>
      </c>
      <c r="H252" s="4" t="n">
        <v>21426.47</v>
      </c>
      <c r="I252" s="4" t="n">
        <v>0.1996</v>
      </c>
      <c r="J252" s="4" t="n">
        <v>1.066</v>
      </c>
      <c r="K252" s="4" t="n">
        <v>45</v>
      </c>
      <c r="L252" s="4" t="n">
        <v>60</v>
      </c>
      <c r="M252" s="4" t="n">
        <v>0</v>
      </c>
      <c r="N252" s="4" t="n">
        <v>0</v>
      </c>
    </row>
    <row r="253" customFormat="false" ht="15" hidden="false" customHeight="false" outlineLevel="0" collapsed="false">
      <c r="A253" s="4" t="s">
        <v>595</v>
      </c>
      <c r="B253" s="4" t="s">
        <v>234</v>
      </c>
      <c r="C253" s="4" t="s">
        <v>304</v>
      </c>
      <c r="D253" s="4" t="n">
        <v>329663.8</v>
      </c>
      <c r="E253" s="4" t="n">
        <v>0.1636</v>
      </c>
      <c r="F253" s="4" t="n">
        <v>275745.29</v>
      </c>
      <c r="G253" s="4" t="n">
        <v>250728.4</v>
      </c>
      <c r="H253" s="4" t="n">
        <v>25016.89</v>
      </c>
      <c r="I253" s="4" t="n">
        <v>0.0907</v>
      </c>
      <c r="J253" s="4" t="n">
        <v>1.039</v>
      </c>
      <c r="K253" s="4" t="n">
        <v>59</v>
      </c>
      <c r="L253" s="4" t="n">
        <v>90</v>
      </c>
      <c r="M253" s="4" t="n">
        <v>0</v>
      </c>
      <c r="N253" s="4" t="n">
        <v>1</v>
      </c>
    </row>
    <row r="254" customFormat="false" ht="15" hidden="false" customHeight="false" outlineLevel="0" collapsed="false">
      <c r="A254" s="4" t="s">
        <v>596</v>
      </c>
      <c r="B254" s="4" t="s">
        <v>168</v>
      </c>
      <c r="C254" s="4" t="s">
        <v>320</v>
      </c>
      <c r="D254" s="4" t="n">
        <v>80841.74</v>
      </c>
      <c r="E254" s="4" t="n">
        <v>0.0638</v>
      </c>
      <c r="F254" s="4" t="n">
        <v>75685.93</v>
      </c>
      <c r="G254" s="4" t="n">
        <v>57264.74</v>
      </c>
      <c r="H254" s="4" t="n">
        <v>18421.19</v>
      </c>
      <c r="I254" s="4" t="n">
        <v>0.2434</v>
      </c>
      <c r="J254" s="4" t="n">
        <v>1.009</v>
      </c>
      <c r="K254" s="4" t="n">
        <v>78</v>
      </c>
      <c r="L254" s="4" t="n">
        <v>45</v>
      </c>
      <c r="M254" s="4" t="n">
        <v>7</v>
      </c>
      <c r="N254" s="4" t="n">
        <v>1</v>
      </c>
    </row>
    <row r="255" customFormat="false" ht="15" hidden="false" customHeight="false" outlineLevel="0" collapsed="false">
      <c r="A255" s="4" t="s">
        <v>597</v>
      </c>
      <c r="B255" s="4" t="s">
        <v>196</v>
      </c>
      <c r="C255" s="4" t="s">
        <v>308</v>
      </c>
      <c r="D255" s="4" t="n">
        <v>55817.32</v>
      </c>
      <c r="E255" s="4" t="n">
        <v>0.1347</v>
      </c>
      <c r="F255" s="4" t="n">
        <v>48297.86</v>
      </c>
      <c r="G255" s="4" t="n">
        <v>48912.4</v>
      </c>
      <c r="H255" s="4" t="n">
        <v>-614.54</v>
      </c>
      <c r="I255" s="4" t="n">
        <v>-0.0127</v>
      </c>
      <c r="J255" s="4" t="n">
        <v>0.922</v>
      </c>
      <c r="K255" s="4" t="n">
        <v>116</v>
      </c>
      <c r="L255" s="4" t="n">
        <v>90</v>
      </c>
      <c r="M255" s="4" t="n">
        <v>4</v>
      </c>
      <c r="N255" s="4" t="n">
        <v>1</v>
      </c>
    </row>
    <row r="256" customFormat="false" ht="15" hidden="false" customHeight="false" outlineLevel="0" collapsed="false">
      <c r="A256" s="4" t="s">
        <v>598</v>
      </c>
      <c r="B256" s="4" t="s">
        <v>156</v>
      </c>
      <c r="C256" s="4" t="s">
        <v>328</v>
      </c>
      <c r="D256" s="4" t="n">
        <v>95179.76</v>
      </c>
      <c r="E256" s="4" t="n">
        <v>0</v>
      </c>
      <c r="F256" s="4" t="n">
        <v>95179.76</v>
      </c>
      <c r="G256" s="4" t="n">
        <v>62334.2</v>
      </c>
      <c r="H256" s="4" t="n">
        <v>32845.56</v>
      </c>
      <c r="I256" s="4" t="n">
        <v>0.3451</v>
      </c>
      <c r="J256" s="4" t="n">
        <v>1.112</v>
      </c>
      <c r="K256" s="4" t="n">
        <v>53</v>
      </c>
      <c r="L256" s="4" t="n">
        <v>90</v>
      </c>
      <c r="M256" s="4" t="n">
        <v>0</v>
      </c>
      <c r="N256" s="4" t="n">
        <v>1</v>
      </c>
    </row>
    <row r="257" customFormat="false" ht="15" hidden="false" customHeight="false" outlineLevel="0" collapsed="false">
      <c r="A257" s="4" t="s">
        <v>599</v>
      </c>
      <c r="B257" s="4" t="s">
        <v>194</v>
      </c>
      <c r="C257" s="4" t="s">
        <v>271</v>
      </c>
      <c r="D257" s="4" t="n">
        <v>2061492.09</v>
      </c>
      <c r="E257" s="4" t="n">
        <v>0.0895</v>
      </c>
      <c r="F257" s="4" t="n">
        <v>1876971.06</v>
      </c>
      <c r="G257" s="4" t="n">
        <v>1588508.28</v>
      </c>
      <c r="H257" s="4" t="n">
        <v>288462.78</v>
      </c>
      <c r="I257" s="4" t="n">
        <v>0.1537</v>
      </c>
      <c r="J257" s="4" t="n">
        <v>0.977</v>
      </c>
      <c r="K257" s="4" t="n">
        <v>98</v>
      </c>
      <c r="L257" s="4" t="n">
        <v>30</v>
      </c>
      <c r="M257" s="4" t="n">
        <v>2</v>
      </c>
      <c r="N257" s="4" t="n">
        <v>1</v>
      </c>
    </row>
    <row r="258" customFormat="false" ht="15" hidden="false" customHeight="false" outlineLevel="0" collapsed="false">
      <c r="A258" s="4" t="s">
        <v>600</v>
      </c>
      <c r="B258" s="4" t="s">
        <v>252</v>
      </c>
      <c r="C258" s="4" t="s">
        <v>296</v>
      </c>
      <c r="D258" s="4" t="n">
        <v>4125676.84</v>
      </c>
      <c r="E258" s="4" t="n">
        <v>0.0906</v>
      </c>
      <c r="F258" s="4" t="n">
        <v>3752080.27</v>
      </c>
      <c r="G258" s="4" t="n">
        <v>2532948.08</v>
      </c>
      <c r="H258" s="4" t="n">
        <v>1219132.19</v>
      </c>
      <c r="I258" s="4" t="n">
        <v>0.3249</v>
      </c>
      <c r="J258" s="4" t="n">
        <v>0.966</v>
      </c>
      <c r="K258" s="4" t="n">
        <v>79</v>
      </c>
      <c r="L258" s="4" t="n">
        <v>30</v>
      </c>
      <c r="M258" s="4" t="n">
        <v>1</v>
      </c>
      <c r="N258" s="4" t="n">
        <v>0</v>
      </c>
    </row>
    <row r="259" customFormat="false" ht="15" hidden="false" customHeight="false" outlineLevel="0" collapsed="false">
      <c r="A259" s="4" t="s">
        <v>601</v>
      </c>
      <c r="B259" s="4" t="s">
        <v>74</v>
      </c>
      <c r="C259" s="4" t="s">
        <v>265</v>
      </c>
      <c r="D259" s="4" t="n">
        <v>191665.7</v>
      </c>
      <c r="E259" s="4" t="n">
        <v>0.1785</v>
      </c>
      <c r="F259" s="4" t="n">
        <v>157445.06</v>
      </c>
      <c r="G259" s="4" t="n">
        <v>135752.33</v>
      </c>
      <c r="H259" s="4" t="n">
        <v>21692.73</v>
      </c>
      <c r="I259" s="4" t="n">
        <v>0.1378</v>
      </c>
      <c r="J259" s="4" t="n">
        <v>1.058</v>
      </c>
      <c r="K259" s="4" t="n">
        <v>89</v>
      </c>
      <c r="L259" s="4" t="n">
        <v>60</v>
      </c>
      <c r="M259" s="4" t="n">
        <v>8</v>
      </c>
      <c r="N259" s="4" t="n">
        <v>1</v>
      </c>
    </row>
    <row r="260" customFormat="false" ht="15" hidden="false" customHeight="false" outlineLevel="0" collapsed="false">
      <c r="A260" s="4" t="s">
        <v>602</v>
      </c>
      <c r="B260" s="4" t="s">
        <v>122</v>
      </c>
      <c r="C260" s="4" t="s">
        <v>324</v>
      </c>
      <c r="D260" s="4" t="n">
        <v>144413.24</v>
      </c>
      <c r="E260" s="4" t="n">
        <v>0.0896</v>
      </c>
      <c r="F260" s="4" t="n">
        <v>131475.11</v>
      </c>
      <c r="G260" s="4" t="n">
        <v>106129.36</v>
      </c>
      <c r="H260" s="4" t="n">
        <v>25345.75</v>
      </c>
      <c r="I260" s="4" t="n">
        <v>0.1928</v>
      </c>
      <c r="J260" s="4" t="n">
        <v>0.887</v>
      </c>
      <c r="K260" s="4" t="n">
        <v>33</v>
      </c>
      <c r="L260" s="4" t="n">
        <v>45</v>
      </c>
      <c r="M260" s="4" t="n">
        <v>4</v>
      </c>
      <c r="N260" s="4" t="n">
        <v>0</v>
      </c>
    </row>
    <row r="261" customFormat="false" ht="15" hidden="false" customHeight="false" outlineLevel="0" collapsed="false">
      <c r="A261" s="4" t="s">
        <v>603</v>
      </c>
      <c r="B261" s="4" t="s">
        <v>162</v>
      </c>
      <c r="C261" s="4" t="s">
        <v>276</v>
      </c>
      <c r="D261" s="4" t="n">
        <v>48628</v>
      </c>
      <c r="E261" s="4" t="n">
        <v>0</v>
      </c>
      <c r="F261" s="4" t="n">
        <v>48628</v>
      </c>
      <c r="G261" s="4" t="n">
        <v>32284.33</v>
      </c>
      <c r="H261" s="4" t="n">
        <v>16343.67</v>
      </c>
      <c r="I261" s="4" t="n">
        <v>0.3361</v>
      </c>
      <c r="J261" s="4" t="n">
        <v>1.114</v>
      </c>
      <c r="K261" s="4" t="n">
        <v>78</v>
      </c>
      <c r="L261" s="4" t="n">
        <v>30</v>
      </c>
      <c r="M261" s="4" t="n">
        <v>0</v>
      </c>
      <c r="N261" s="4" t="n">
        <v>1</v>
      </c>
    </row>
    <row r="262" customFormat="false" ht="15" hidden="false" customHeight="false" outlineLevel="0" collapsed="false">
      <c r="A262" s="4" t="s">
        <v>604</v>
      </c>
      <c r="B262" s="4" t="s">
        <v>53</v>
      </c>
      <c r="C262" s="4" t="s">
        <v>318</v>
      </c>
      <c r="D262" s="4" t="n">
        <v>3395086.9</v>
      </c>
      <c r="E262" s="4" t="n">
        <v>0.136</v>
      </c>
      <c r="F262" s="4" t="n">
        <v>2933229.1</v>
      </c>
      <c r="G262" s="4" t="n">
        <v>2686601.6</v>
      </c>
      <c r="H262" s="4" t="n">
        <v>246627.5</v>
      </c>
      <c r="I262" s="4" t="n">
        <v>0.0841</v>
      </c>
      <c r="J262" s="4" t="n">
        <v>0.829</v>
      </c>
      <c r="K262" s="4" t="n">
        <v>55</v>
      </c>
      <c r="L262" s="4" t="n">
        <v>60</v>
      </c>
      <c r="M262" s="4" t="n">
        <v>6</v>
      </c>
      <c r="N262" s="4" t="n">
        <v>0</v>
      </c>
    </row>
    <row r="263" customFormat="false" ht="15" hidden="false" customHeight="false" outlineLevel="0" collapsed="false">
      <c r="A263" s="4" t="s">
        <v>605</v>
      </c>
      <c r="B263" s="4" t="s">
        <v>152</v>
      </c>
      <c r="C263" s="4" t="s">
        <v>324</v>
      </c>
      <c r="D263" s="4" t="n">
        <v>36103.31</v>
      </c>
      <c r="E263" s="4" t="n">
        <v>0.1392</v>
      </c>
      <c r="F263" s="4" t="n">
        <v>31076.37</v>
      </c>
      <c r="G263" s="4" t="n">
        <v>26532.34</v>
      </c>
      <c r="H263" s="4" t="n">
        <v>4544.03</v>
      </c>
      <c r="I263" s="4" t="n">
        <v>0.1462</v>
      </c>
      <c r="J263" s="4" t="n">
        <v>1.105</v>
      </c>
      <c r="K263" s="4" t="n">
        <v>77</v>
      </c>
      <c r="L263" s="4" t="n">
        <v>45</v>
      </c>
      <c r="M263" s="4" t="n">
        <v>10</v>
      </c>
      <c r="N263" s="4" t="n">
        <v>1</v>
      </c>
    </row>
    <row r="264" customFormat="false" ht="15" hidden="false" customHeight="false" outlineLevel="0" collapsed="false">
      <c r="A264" s="4" t="s">
        <v>606</v>
      </c>
      <c r="B264" s="4" t="s">
        <v>88</v>
      </c>
      <c r="C264" s="4" t="s">
        <v>316</v>
      </c>
      <c r="D264" s="4" t="n">
        <v>1792250.5</v>
      </c>
      <c r="E264" s="4" t="n">
        <v>0.0269</v>
      </c>
      <c r="F264" s="4" t="n">
        <v>1744071.97</v>
      </c>
      <c r="G264" s="4" t="n">
        <v>1141138.9</v>
      </c>
      <c r="H264" s="4" t="n">
        <v>602933.07</v>
      </c>
      <c r="I264" s="4" t="n">
        <v>0.3457</v>
      </c>
      <c r="J264" s="4" t="n">
        <v>0.924</v>
      </c>
      <c r="K264" s="4" t="n">
        <v>54</v>
      </c>
      <c r="L264" s="4" t="n">
        <v>45</v>
      </c>
      <c r="M264" s="4" t="n">
        <v>11</v>
      </c>
      <c r="N264" s="4" t="n">
        <v>1</v>
      </c>
    </row>
    <row r="265" customFormat="false" ht="15" hidden="false" customHeight="false" outlineLevel="0" collapsed="false">
      <c r="A265" s="4" t="s">
        <v>607</v>
      </c>
      <c r="B265" s="4" t="s">
        <v>82</v>
      </c>
      <c r="C265" s="4" t="s">
        <v>314</v>
      </c>
      <c r="D265" s="4" t="n">
        <v>1665035.72</v>
      </c>
      <c r="E265" s="4" t="n">
        <v>0.122</v>
      </c>
      <c r="F265" s="4" t="n">
        <v>1461958.33</v>
      </c>
      <c r="G265" s="4" t="n">
        <v>1152902.12</v>
      </c>
      <c r="H265" s="4" t="n">
        <v>309056.21</v>
      </c>
      <c r="I265" s="4" t="n">
        <v>0.2114</v>
      </c>
      <c r="J265" s="4" t="n">
        <v>0.981</v>
      </c>
      <c r="K265" s="4" t="n">
        <v>71</v>
      </c>
      <c r="L265" s="4" t="n">
        <v>45</v>
      </c>
      <c r="M265" s="4" t="n">
        <v>9</v>
      </c>
      <c r="N265" s="4" t="n">
        <v>0</v>
      </c>
    </row>
    <row r="266" customFormat="false" ht="15" hidden="false" customHeight="false" outlineLevel="0" collapsed="false">
      <c r="A266" s="4" t="s">
        <v>608</v>
      </c>
      <c r="B266" s="4" t="s">
        <v>232</v>
      </c>
      <c r="C266" s="4" t="s">
        <v>320</v>
      </c>
      <c r="D266" s="4" t="n">
        <v>202104.35</v>
      </c>
      <c r="E266" s="4" t="n">
        <v>0.1714</v>
      </c>
      <c r="F266" s="4" t="n">
        <v>167462.53</v>
      </c>
      <c r="G266" s="4" t="n">
        <v>143161.85</v>
      </c>
      <c r="H266" s="4" t="n">
        <v>24300.68</v>
      </c>
      <c r="I266" s="4" t="n">
        <v>0.1451</v>
      </c>
      <c r="J266" s="4" t="n">
        <v>0.986</v>
      </c>
      <c r="K266" s="4" t="n">
        <v>68</v>
      </c>
      <c r="L266" s="4" t="n">
        <v>90</v>
      </c>
      <c r="M266" s="4" t="n">
        <v>2</v>
      </c>
      <c r="N266" s="4" t="n">
        <v>0</v>
      </c>
    </row>
    <row r="267" customFormat="false" ht="15" hidden="false" customHeight="false" outlineLevel="0" collapsed="false">
      <c r="A267" s="4" t="s">
        <v>609</v>
      </c>
      <c r="B267" s="4" t="s">
        <v>132</v>
      </c>
      <c r="C267" s="4" t="s">
        <v>300</v>
      </c>
      <c r="D267" s="4" t="n">
        <v>24377.65</v>
      </c>
      <c r="E267" s="4" t="n">
        <v>0.0487</v>
      </c>
      <c r="F267" s="4" t="n">
        <v>23190</v>
      </c>
      <c r="G267" s="4" t="n">
        <v>20162.74</v>
      </c>
      <c r="H267" s="4" t="n">
        <v>3027.26</v>
      </c>
      <c r="I267" s="4" t="n">
        <v>0.1305</v>
      </c>
      <c r="J267" s="4" t="n">
        <v>1.086</v>
      </c>
      <c r="K267" s="4" t="n">
        <v>67</v>
      </c>
      <c r="L267" s="4" t="n">
        <v>45</v>
      </c>
      <c r="M267" s="4" t="n">
        <v>7</v>
      </c>
      <c r="N267" s="4" t="n">
        <v>1</v>
      </c>
    </row>
    <row r="268" customFormat="false" ht="15" hidden="false" customHeight="false" outlineLevel="0" collapsed="false">
      <c r="A268" s="4" t="s">
        <v>610</v>
      </c>
      <c r="B268" s="4" t="s">
        <v>36</v>
      </c>
      <c r="C268" s="4" t="s">
        <v>302</v>
      </c>
      <c r="D268" s="4" t="n">
        <v>85640.4</v>
      </c>
      <c r="E268" s="4" t="n">
        <v>0.0586</v>
      </c>
      <c r="F268" s="4" t="n">
        <v>80619.17</v>
      </c>
      <c r="G268" s="4" t="n">
        <v>67463.55</v>
      </c>
      <c r="H268" s="4" t="n">
        <v>13155.62</v>
      </c>
      <c r="I268" s="4" t="n">
        <v>0.1632</v>
      </c>
      <c r="J268" s="4" t="n">
        <v>1.003</v>
      </c>
      <c r="K268" s="4" t="n">
        <v>53</v>
      </c>
      <c r="L268" s="4" t="n">
        <v>30</v>
      </c>
      <c r="M268" s="4" t="n">
        <v>0</v>
      </c>
      <c r="N268" s="4" t="n">
        <v>1</v>
      </c>
    </row>
    <row r="269" customFormat="false" ht="15" hidden="false" customHeight="false" outlineLevel="0" collapsed="false">
      <c r="A269" s="4" t="s">
        <v>611</v>
      </c>
      <c r="B269" s="4" t="s">
        <v>98</v>
      </c>
      <c r="C269" s="4" t="s">
        <v>292</v>
      </c>
      <c r="D269" s="4" t="n">
        <v>401272.72</v>
      </c>
      <c r="E269" s="4" t="n">
        <v>0.0228</v>
      </c>
      <c r="F269" s="4" t="n">
        <v>392115.44</v>
      </c>
      <c r="G269" s="4" t="n">
        <v>296486.72</v>
      </c>
      <c r="H269" s="4" t="n">
        <v>95628.72</v>
      </c>
      <c r="I269" s="4" t="n">
        <v>0.2439</v>
      </c>
      <c r="J269" s="4" t="n">
        <v>0.877</v>
      </c>
      <c r="K269" s="4" t="n">
        <v>57</v>
      </c>
      <c r="L269" s="4" t="n">
        <v>60</v>
      </c>
      <c r="M269" s="4" t="n">
        <v>0</v>
      </c>
      <c r="N269" s="4" t="n">
        <v>1</v>
      </c>
    </row>
    <row r="270" customFormat="false" ht="15" hidden="false" customHeight="false" outlineLevel="0" collapsed="false">
      <c r="A270" s="4" t="s">
        <v>612</v>
      </c>
      <c r="B270" s="4" t="s">
        <v>124</v>
      </c>
      <c r="C270" s="4" t="s">
        <v>276</v>
      </c>
      <c r="D270" s="4" t="n">
        <v>243140</v>
      </c>
      <c r="E270" s="4" t="n">
        <v>0.0102</v>
      </c>
      <c r="F270" s="4" t="n">
        <v>240656.57</v>
      </c>
      <c r="G270" s="4" t="n">
        <v>161421.65</v>
      </c>
      <c r="H270" s="4" t="n">
        <v>79234.92</v>
      </c>
      <c r="I270" s="4" t="n">
        <v>0.3292</v>
      </c>
      <c r="J270" s="4" t="n">
        <v>1.075</v>
      </c>
      <c r="K270" s="4" t="n">
        <v>53</v>
      </c>
      <c r="L270" s="4" t="n">
        <v>45</v>
      </c>
      <c r="M270" s="4" t="n">
        <v>0</v>
      </c>
      <c r="N270" s="4" t="n">
        <v>0</v>
      </c>
    </row>
    <row r="271" customFormat="false" ht="15" hidden="false" customHeight="false" outlineLevel="0" collapsed="false">
      <c r="A271" s="4" t="s">
        <v>613</v>
      </c>
      <c r="B271" s="4" t="s">
        <v>118</v>
      </c>
      <c r="C271" s="4" t="s">
        <v>292</v>
      </c>
      <c r="D271" s="4" t="n">
        <v>300954.54</v>
      </c>
      <c r="E271" s="4" t="n">
        <v>0.0813</v>
      </c>
      <c r="F271" s="4" t="n">
        <v>276487.44</v>
      </c>
      <c r="G271" s="4" t="n">
        <v>222365.04</v>
      </c>
      <c r="H271" s="4" t="n">
        <v>54122.4</v>
      </c>
      <c r="I271" s="4" t="n">
        <v>0.1957</v>
      </c>
      <c r="J271" s="4" t="n">
        <v>1.032</v>
      </c>
      <c r="K271" s="4" t="n">
        <v>54</v>
      </c>
      <c r="L271" s="4" t="n">
        <v>30</v>
      </c>
      <c r="M271" s="4" t="n">
        <v>13</v>
      </c>
      <c r="N271" s="4" t="n">
        <v>0</v>
      </c>
    </row>
    <row r="272" customFormat="false" ht="15" hidden="false" customHeight="false" outlineLevel="0" collapsed="false">
      <c r="A272" s="4" t="s">
        <v>614</v>
      </c>
      <c r="B272" s="4" t="s">
        <v>156</v>
      </c>
      <c r="C272" s="4" t="s">
        <v>306</v>
      </c>
      <c r="D272" s="4" t="n">
        <v>374877.4</v>
      </c>
      <c r="E272" s="4" t="n">
        <v>0.0384</v>
      </c>
      <c r="F272" s="4" t="n">
        <v>360494.83</v>
      </c>
      <c r="G272" s="4" t="n">
        <v>260423.92</v>
      </c>
      <c r="H272" s="4" t="n">
        <v>100070.91</v>
      </c>
      <c r="I272" s="4" t="n">
        <v>0.2776</v>
      </c>
      <c r="J272" s="4" t="n">
        <v>0.905</v>
      </c>
      <c r="K272" s="4" t="n">
        <v>80</v>
      </c>
      <c r="L272" s="4" t="n">
        <v>30</v>
      </c>
      <c r="M272" s="4" t="n">
        <v>5</v>
      </c>
      <c r="N272" s="4" t="n">
        <v>1</v>
      </c>
    </row>
    <row r="273" customFormat="false" ht="15" hidden="false" customHeight="false" outlineLevel="0" collapsed="false">
      <c r="A273" s="4" t="s">
        <v>615</v>
      </c>
      <c r="B273" s="4" t="s">
        <v>136</v>
      </c>
      <c r="C273" s="4" t="s">
        <v>310</v>
      </c>
      <c r="D273" s="4" t="n">
        <v>34319.7</v>
      </c>
      <c r="E273" s="4" t="n">
        <v>0.105</v>
      </c>
      <c r="F273" s="4" t="n">
        <v>30716.56</v>
      </c>
      <c r="G273" s="4" t="n">
        <v>24332.14</v>
      </c>
      <c r="H273" s="4" t="n">
        <v>6384.42</v>
      </c>
      <c r="I273" s="4" t="n">
        <v>0.2078</v>
      </c>
      <c r="J273" s="4" t="n">
        <v>1.046</v>
      </c>
      <c r="K273" s="4" t="n">
        <v>43</v>
      </c>
      <c r="L273" s="4" t="n">
        <v>30</v>
      </c>
      <c r="M273" s="4" t="n">
        <v>2</v>
      </c>
      <c r="N273" s="4" t="n">
        <v>1</v>
      </c>
    </row>
    <row r="274" customFormat="false" ht="15" hidden="false" customHeight="false" outlineLevel="0" collapsed="false">
      <c r="A274" s="4" t="s">
        <v>616</v>
      </c>
      <c r="B274" s="4" t="s">
        <v>100</v>
      </c>
      <c r="C274" s="4" t="s">
        <v>294</v>
      </c>
      <c r="D274" s="4" t="n">
        <v>1847011.88</v>
      </c>
      <c r="E274" s="4" t="n">
        <v>0.1758</v>
      </c>
      <c r="F274" s="4" t="n">
        <v>1522252.26</v>
      </c>
      <c r="G274" s="4" t="n">
        <v>1314561.08</v>
      </c>
      <c r="H274" s="4" t="n">
        <v>207691.18</v>
      </c>
      <c r="I274" s="4" t="n">
        <v>0.1364</v>
      </c>
      <c r="J274" s="4" t="n">
        <v>1.057</v>
      </c>
      <c r="K274" s="4" t="n">
        <v>36</v>
      </c>
      <c r="L274" s="4" t="n">
        <v>30</v>
      </c>
      <c r="M274" s="4" t="n">
        <v>11</v>
      </c>
      <c r="N274" s="4" t="n">
        <v>1</v>
      </c>
    </row>
    <row r="275" customFormat="false" ht="15" hidden="false" customHeight="false" outlineLevel="0" collapsed="false">
      <c r="A275" s="4" t="s">
        <v>617</v>
      </c>
      <c r="B275" s="4" t="s">
        <v>102</v>
      </c>
      <c r="C275" s="4" t="s">
        <v>324</v>
      </c>
      <c r="D275" s="4" t="n">
        <v>36103.31</v>
      </c>
      <c r="E275" s="4" t="n">
        <v>0.1042</v>
      </c>
      <c r="F275" s="4" t="n">
        <v>32342.68</v>
      </c>
      <c r="G275" s="4" t="n">
        <v>26532.34</v>
      </c>
      <c r="H275" s="4" t="n">
        <v>5810.34</v>
      </c>
      <c r="I275" s="4" t="n">
        <v>0.1796</v>
      </c>
      <c r="J275" s="4" t="n">
        <v>0.994</v>
      </c>
      <c r="K275" s="4" t="n">
        <v>47</v>
      </c>
      <c r="L275" s="4" t="n">
        <v>30</v>
      </c>
      <c r="M275" s="4" t="n">
        <v>7</v>
      </c>
      <c r="N275" s="4" t="n">
        <v>0</v>
      </c>
    </row>
    <row r="276" customFormat="false" ht="15" hidden="false" customHeight="false" outlineLevel="0" collapsed="false">
      <c r="A276" s="4" t="s">
        <v>618</v>
      </c>
      <c r="B276" s="4" t="s">
        <v>102</v>
      </c>
      <c r="C276" s="4" t="s">
        <v>312</v>
      </c>
      <c r="D276" s="4" t="n">
        <v>313222.16</v>
      </c>
      <c r="E276" s="4" t="n">
        <v>0.1183</v>
      </c>
      <c r="F276" s="4" t="n">
        <v>276183.38</v>
      </c>
      <c r="G276" s="4" t="n">
        <v>206768.56</v>
      </c>
      <c r="H276" s="4" t="n">
        <v>69414.82</v>
      </c>
      <c r="I276" s="4" t="n">
        <v>0.2513</v>
      </c>
      <c r="J276" s="4" t="n">
        <v>1.164</v>
      </c>
      <c r="K276" s="4" t="n">
        <v>61</v>
      </c>
      <c r="L276" s="4" t="n">
        <v>45</v>
      </c>
      <c r="M276" s="4" t="n">
        <v>7</v>
      </c>
      <c r="N276" s="4" t="n">
        <v>1</v>
      </c>
    </row>
    <row r="277" customFormat="false" ht="15" hidden="false" customHeight="false" outlineLevel="0" collapsed="false">
      <c r="A277" s="4" t="s">
        <v>619</v>
      </c>
      <c r="B277" s="4" t="s">
        <v>102</v>
      </c>
      <c r="C277" s="4" t="s">
        <v>322</v>
      </c>
      <c r="D277" s="4" t="n">
        <v>198621.08</v>
      </c>
      <c r="E277" s="4" t="n">
        <v>0.0962</v>
      </c>
      <c r="F277" s="4" t="n">
        <v>179521.61</v>
      </c>
      <c r="G277" s="4" t="n">
        <v>155721.2</v>
      </c>
      <c r="H277" s="4" t="n">
        <v>23800.41</v>
      </c>
      <c r="I277" s="4" t="n">
        <v>0.1326</v>
      </c>
      <c r="J277" s="4" t="n">
        <v>0.936</v>
      </c>
      <c r="K277" s="4" t="n">
        <v>49</v>
      </c>
      <c r="L277" s="4" t="n">
        <v>90</v>
      </c>
      <c r="M277" s="4" t="n">
        <v>12</v>
      </c>
      <c r="N277" s="4" t="n">
        <v>0</v>
      </c>
    </row>
    <row r="278" customFormat="false" ht="15" hidden="false" customHeight="false" outlineLevel="0" collapsed="false">
      <c r="A278" s="4" t="s">
        <v>620</v>
      </c>
      <c r="B278" s="4" t="s">
        <v>112</v>
      </c>
      <c r="C278" s="4" t="s">
        <v>287</v>
      </c>
      <c r="D278" s="4" t="n">
        <v>102995.8</v>
      </c>
      <c r="E278" s="4" t="n">
        <v>0.1986</v>
      </c>
      <c r="F278" s="4" t="n">
        <v>82537.03</v>
      </c>
      <c r="G278" s="4" t="n">
        <v>91414.2</v>
      </c>
      <c r="H278" s="4" t="n">
        <v>-8877.17</v>
      </c>
      <c r="I278" s="4" t="n">
        <v>-0.1076</v>
      </c>
      <c r="J278" s="4" t="n">
        <v>0.966</v>
      </c>
      <c r="K278" s="4" t="n">
        <v>48</v>
      </c>
      <c r="L278" s="4" t="n">
        <v>45</v>
      </c>
      <c r="M278" s="4" t="n">
        <v>14</v>
      </c>
      <c r="N278" s="4" t="n">
        <v>1</v>
      </c>
    </row>
    <row r="279" customFormat="false" ht="15" hidden="false" customHeight="false" outlineLevel="0" collapsed="false">
      <c r="A279" s="4" t="s">
        <v>621</v>
      </c>
      <c r="B279" s="4" t="s">
        <v>60</v>
      </c>
      <c r="C279" s="4" t="s">
        <v>306</v>
      </c>
      <c r="D279" s="4" t="n">
        <v>187438.7</v>
      </c>
      <c r="E279" s="4" t="n">
        <v>0</v>
      </c>
      <c r="F279" s="4" t="n">
        <v>187438.7</v>
      </c>
      <c r="G279" s="4" t="n">
        <v>130211.96</v>
      </c>
      <c r="H279" s="4" t="n">
        <v>57226.74</v>
      </c>
      <c r="I279" s="4" t="n">
        <v>0.3053</v>
      </c>
      <c r="J279" s="4" t="n">
        <v>1.117</v>
      </c>
      <c r="K279" s="4" t="n">
        <v>51</v>
      </c>
      <c r="L279" s="4" t="n">
        <v>30</v>
      </c>
      <c r="M279" s="4" t="n">
        <v>0</v>
      </c>
      <c r="N279" s="4" t="n">
        <v>1</v>
      </c>
    </row>
    <row r="280" customFormat="false" ht="15" hidden="false" customHeight="false" outlineLevel="0" collapsed="false">
      <c r="A280" s="4" t="s">
        <v>622</v>
      </c>
      <c r="B280" s="4" t="s">
        <v>210</v>
      </c>
      <c r="C280" s="4" t="s">
        <v>304</v>
      </c>
      <c r="D280" s="4" t="n">
        <v>164831.9</v>
      </c>
      <c r="E280" s="4" t="n">
        <v>0.1108</v>
      </c>
      <c r="F280" s="4" t="n">
        <v>146575.84</v>
      </c>
      <c r="G280" s="4" t="n">
        <v>125364.2</v>
      </c>
      <c r="H280" s="4" t="n">
        <v>21211.64</v>
      </c>
      <c r="I280" s="4" t="n">
        <v>0.1447</v>
      </c>
      <c r="J280" s="4" t="n">
        <v>0.939</v>
      </c>
      <c r="K280" s="4" t="n">
        <v>48</v>
      </c>
      <c r="L280" s="4" t="n">
        <v>30</v>
      </c>
      <c r="M280" s="4" t="n">
        <v>0</v>
      </c>
      <c r="N280" s="4" t="n">
        <v>1</v>
      </c>
    </row>
    <row r="281" customFormat="false" ht="15" hidden="false" customHeight="false" outlineLevel="0" collapsed="false">
      <c r="A281" s="4" t="s">
        <v>623</v>
      </c>
      <c r="B281" s="4" t="s">
        <v>204</v>
      </c>
      <c r="C281" s="4" t="s">
        <v>330</v>
      </c>
      <c r="D281" s="4" t="n">
        <v>43008.96</v>
      </c>
      <c r="E281" s="4" t="n">
        <v>0.0434</v>
      </c>
      <c r="F281" s="4" t="n">
        <v>41140.96</v>
      </c>
      <c r="G281" s="4" t="n">
        <v>31369.64</v>
      </c>
      <c r="H281" s="4" t="n">
        <v>9771.32</v>
      </c>
      <c r="I281" s="4" t="n">
        <v>0.2375</v>
      </c>
      <c r="J281" s="4" t="n">
        <v>1.028</v>
      </c>
      <c r="K281" s="4" t="n">
        <v>54</v>
      </c>
      <c r="L281" s="4" t="n">
        <v>60</v>
      </c>
      <c r="M281" s="4" t="n">
        <v>0</v>
      </c>
      <c r="N281" s="4" t="n">
        <v>0</v>
      </c>
    </row>
    <row r="282" customFormat="false" ht="15" hidden="false" customHeight="false" outlineLevel="0" collapsed="false">
      <c r="A282" s="4" t="s">
        <v>624</v>
      </c>
      <c r="B282" s="4" t="s">
        <v>196</v>
      </c>
      <c r="C282" s="4" t="s">
        <v>324</v>
      </c>
      <c r="D282" s="4" t="n">
        <v>36103.31</v>
      </c>
      <c r="E282" s="4" t="n">
        <v>0.1826</v>
      </c>
      <c r="F282" s="4" t="n">
        <v>29510.65</v>
      </c>
      <c r="G282" s="4" t="n">
        <v>26532.34</v>
      </c>
      <c r="H282" s="4" t="n">
        <v>2978.31</v>
      </c>
      <c r="I282" s="4" t="n">
        <v>0.1009</v>
      </c>
      <c r="J282" s="4" t="n">
        <v>1.004</v>
      </c>
      <c r="K282" s="4" t="n">
        <v>41</v>
      </c>
      <c r="L282" s="4" t="n">
        <v>90</v>
      </c>
      <c r="M282" s="4" t="n">
        <v>6</v>
      </c>
      <c r="N282" s="4" t="n">
        <v>0</v>
      </c>
    </row>
    <row r="283" customFormat="false" ht="15" hidden="false" customHeight="false" outlineLevel="0" collapsed="false">
      <c r="A283" s="4" t="s">
        <v>625</v>
      </c>
      <c r="B283" s="4" t="s">
        <v>204</v>
      </c>
      <c r="C283" s="4" t="s">
        <v>320</v>
      </c>
      <c r="D283" s="4" t="n">
        <v>202104.35</v>
      </c>
      <c r="E283" s="4" t="n">
        <v>0.0459</v>
      </c>
      <c r="F283" s="4" t="n">
        <v>192835.81</v>
      </c>
      <c r="G283" s="4" t="n">
        <v>143161.85</v>
      </c>
      <c r="H283" s="4" t="n">
        <v>49673.96</v>
      </c>
      <c r="I283" s="4" t="n">
        <v>0.2576</v>
      </c>
      <c r="J283" s="4" t="n">
        <v>0.99</v>
      </c>
      <c r="K283" s="4" t="n">
        <v>56</v>
      </c>
      <c r="L283" s="4" t="n">
        <v>90</v>
      </c>
      <c r="M283" s="4" t="n">
        <v>0</v>
      </c>
      <c r="N283" s="4" t="n">
        <v>0</v>
      </c>
    </row>
    <row r="284" customFormat="false" ht="15" hidden="false" customHeight="false" outlineLevel="0" collapsed="false">
      <c r="A284" s="4" t="s">
        <v>626</v>
      </c>
      <c r="B284" s="4" t="s">
        <v>208</v>
      </c>
      <c r="C284" s="4" t="s">
        <v>318</v>
      </c>
      <c r="D284" s="4" t="n">
        <v>3395086.9</v>
      </c>
      <c r="E284" s="4" t="n">
        <v>0.0127</v>
      </c>
      <c r="F284" s="4" t="n">
        <v>3351942.04</v>
      </c>
      <c r="G284" s="4" t="n">
        <v>2686601.6</v>
      </c>
      <c r="H284" s="4" t="n">
        <v>665340.44</v>
      </c>
      <c r="I284" s="4" t="n">
        <v>0.1985</v>
      </c>
      <c r="J284" s="4" t="n">
        <v>1.133</v>
      </c>
      <c r="K284" s="4" t="n">
        <v>58</v>
      </c>
      <c r="L284" s="4" t="n">
        <v>120</v>
      </c>
      <c r="M284" s="4" t="n">
        <v>2</v>
      </c>
      <c r="N284" s="4" t="n">
        <v>0</v>
      </c>
    </row>
    <row r="285" customFormat="false" ht="15" hidden="false" customHeight="false" outlineLevel="0" collapsed="false">
      <c r="A285" s="4" t="s">
        <v>627</v>
      </c>
      <c r="B285" s="4" t="s">
        <v>246</v>
      </c>
      <c r="C285" s="4" t="s">
        <v>310</v>
      </c>
      <c r="D285" s="4" t="n">
        <v>51479.55</v>
      </c>
      <c r="E285" s="4" t="n">
        <v>0.0663</v>
      </c>
      <c r="F285" s="4" t="n">
        <v>48064.02</v>
      </c>
      <c r="G285" s="4" t="n">
        <v>36498.21</v>
      </c>
      <c r="H285" s="4" t="n">
        <v>11565.81</v>
      </c>
      <c r="I285" s="4" t="n">
        <v>0.2406</v>
      </c>
      <c r="J285" s="4" t="n">
        <v>1.109</v>
      </c>
      <c r="K285" s="4" t="n">
        <v>61</v>
      </c>
      <c r="L285" s="4" t="n">
        <v>60</v>
      </c>
      <c r="M285" s="4" t="n">
        <v>6</v>
      </c>
      <c r="N285" s="4" t="n">
        <v>0</v>
      </c>
    </row>
    <row r="286" customFormat="false" ht="15" hidden="false" customHeight="false" outlineLevel="0" collapsed="false">
      <c r="A286" s="4" t="s">
        <v>628</v>
      </c>
      <c r="B286" s="4" t="s">
        <v>182</v>
      </c>
      <c r="C286" s="4" t="s">
        <v>281</v>
      </c>
      <c r="D286" s="4" t="n">
        <v>59634.99</v>
      </c>
      <c r="E286" s="4" t="n">
        <v>0.0929</v>
      </c>
      <c r="F286" s="4" t="n">
        <v>54095.09</v>
      </c>
      <c r="G286" s="4" t="n">
        <v>47482.86</v>
      </c>
      <c r="H286" s="4" t="n">
        <v>6612.23</v>
      </c>
      <c r="I286" s="4" t="n">
        <v>0.1222</v>
      </c>
      <c r="J286" s="4" t="n">
        <v>0.981</v>
      </c>
      <c r="K286" s="4" t="n">
        <v>98</v>
      </c>
      <c r="L286" s="4" t="n">
        <v>60</v>
      </c>
      <c r="M286" s="4" t="n">
        <v>1</v>
      </c>
      <c r="N286" s="4" t="n">
        <v>0</v>
      </c>
    </row>
    <row r="287" customFormat="false" ht="15" hidden="false" customHeight="false" outlineLevel="0" collapsed="false">
      <c r="A287" s="4" t="s">
        <v>629</v>
      </c>
      <c r="B287" s="4" t="s">
        <v>90</v>
      </c>
      <c r="C287" s="4" t="s">
        <v>316</v>
      </c>
      <c r="D287" s="4" t="n">
        <v>716900.2</v>
      </c>
      <c r="E287" s="4" t="n">
        <v>0.069</v>
      </c>
      <c r="F287" s="4" t="n">
        <v>667415.18</v>
      </c>
      <c r="G287" s="4" t="n">
        <v>456455.56</v>
      </c>
      <c r="H287" s="4" t="n">
        <v>210959.62</v>
      </c>
      <c r="I287" s="4" t="n">
        <v>0.3161</v>
      </c>
      <c r="J287" s="4" t="n">
        <v>1.025</v>
      </c>
      <c r="K287" s="4" t="n">
        <v>56</v>
      </c>
      <c r="L287" s="4" t="n">
        <v>45</v>
      </c>
      <c r="M287" s="4" t="n">
        <v>1</v>
      </c>
      <c r="N287" s="4" t="n">
        <v>0</v>
      </c>
    </row>
    <row r="288" customFormat="false" ht="15" hidden="false" customHeight="false" outlineLevel="0" collapsed="false">
      <c r="A288" s="4" t="s">
        <v>630</v>
      </c>
      <c r="B288" s="4" t="s">
        <v>128</v>
      </c>
      <c r="C288" s="4" t="s">
        <v>292</v>
      </c>
      <c r="D288" s="4" t="n">
        <v>300954.54</v>
      </c>
      <c r="E288" s="4" t="n">
        <v>0.1254</v>
      </c>
      <c r="F288" s="4" t="n">
        <v>263216.6</v>
      </c>
      <c r="G288" s="4" t="n">
        <v>222365.04</v>
      </c>
      <c r="H288" s="4" t="n">
        <v>40851.56</v>
      </c>
      <c r="I288" s="4" t="n">
        <v>0.1552</v>
      </c>
      <c r="J288" s="4" t="n">
        <v>1.042</v>
      </c>
      <c r="K288" s="4" t="n">
        <v>71</v>
      </c>
      <c r="L288" s="4" t="n">
        <v>120</v>
      </c>
      <c r="M288" s="4" t="n">
        <v>0</v>
      </c>
      <c r="N288" s="4" t="n">
        <v>1</v>
      </c>
    </row>
    <row r="289" customFormat="false" ht="15" hidden="false" customHeight="false" outlineLevel="0" collapsed="false">
      <c r="A289" s="4" t="s">
        <v>631</v>
      </c>
      <c r="B289" s="4" t="s">
        <v>106</v>
      </c>
      <c r="C289" s="4" t="s">
        <v>290</v>
      </c>
      <c r="D289" s="4" t="n">
        <v>9498.94</v>
      </c>
      <c r="E289" s="4" t="n">
        <v>0.106</v>
      </c>
      <c r="F289" s="4" t="n">
        <v>8491.65</v>
      </c>
      <c r="G289" s="4" t="n">
        <v>6855</v>
      </c>
      <c r="H289" s="4" t="n">
        <v>1636.65</v>
      </c>
      <c r="I289" s="4" t="n">
        <v>0.1927</v>
      </c>
      <c r="J289" s="4" t="n">
        <v>0.945</v>
      </c>
      <c r="K289" s="4" t="n">
        <v>61</v>
      </c>
      <c r="L289" s="4" t="n">
        <v>30</v>
      </c>
      <c r="M289" s="4" t="n">
        <v>8</v>
      </c>
      <c r="N289" s="4" t="n">
        <v>1</v>
      </c>
    </row>
    <row r="290" customFormat="false" ht="15" hidden="false" customHeight="false" outlineLevel="0" collapsed="false">
      <c r="A290" s="4" t="s">
        <v>632</v>
      </c>
      <c r="B290" s="4" t="s">
        <v>184</v>
      </c>
      <c r="C290" s="4" t="s">
        <v>328</v>
      </c>
      <c r="D290" s="4" t="n">
        <v>47589.88</v>
      </c>
      <c r="E290" s="4" t="n">
        <v>0.0964</v>
      </c>
      <c r="F290" s="4" t="n">
        <v>43002.75</v>
      </c>
      <c r="G290" s="4" t="n">
        <v>31167.1</v>
      </c>
      <c r="H290" s="4" t="n">
        <v>11835.65</v>
      </c>
      <c r="I290" s="4" t="n">
        <v>0.2752</v>
      </c>
      <c r="J290" s="4" t="n">
        <v>0.903</v>
      </c>
      <c r="K290" s="4" t="n">
        <v>68</v>
      </c>
      <c r="L290" s="4" t="n">
        <v>45</v>
      </c>
      <c r="M290" s="4" t="n">
        <v>12</v>
      </c>
      <c r="N290" s="4" t="n">
        <v>1</v>
      </c>
    </row>
    <row r="291" customFormat="false" ht="15" hidden="false" customHeight="false" outlineLevel="0" collapsed="false">
      <c r="A291" s="4" t="s">
        <v>633</v>
      </c>
      <c r="B291" s="4" t="s">
        <v>246</v>
      </c>
      <c r="C291" s="4" t="s">
        <v>320</v>
      </c>
      <c r="D291" s="4" t="n">
        <v>161683.48</v>
      </c>
      <c r="E291" s="4" t="n">
        <v>0</v>
      </c>
      <c r="F291" s="4" t="n">
        <v>161683.48</v>
      </c>
      <c r="G291" s="4" t="n">
        <v>114529.48</v>
      </c>
      <c r="H291" s="4" t="n">
        <v>47154</v>
      </c>
      <c r="I291" s="4" t="n">
        <v>0.2916</v>
      </c>
      <c r="J291" s="4" t="n">
        <v>0.894</v>
      </c>
      <c r="K291" s="4" t="n">
        <v>85</v>
      </c>
      <c r="L291" s="4" t="n">
        <v>120</v>
      </c>
      <c r="M291" s="4" t="n">
        <v>0</v>
      </c>
      <c r="N291" s="4" t="n">
        <v>0</v>
      </c>
    </row>
    <row r="292" customFormat="false" ht="15" hidden="false" customHeight="false" outlineLevel="0" collapsed="false">
      <c r="A292" s="4" t="s">
        <v>634</v>
      </c>
      <c r="B292" s="4" t="s">
        <v>190</v>
      </c>
      <c r="C292" s="4" t="s">
        <v>326</v>
      </c>
      <c r="D292" s="4" t="n">
        <v>84862.32</v>
      </c>
      <c r="E292" s="4" t="n">
        <v>0.076</v>
      </c>
      <c r="F292" s="4" t="n">
        <v>78414.8</v>
      </c>
      <c r="G292" s="4" t="n">
        <v>54725.48</v>
      </c>
      <c r="H292" s="4" t="n">
        <v>23689.32</v>
      </c>
      <c r="I292" s="4" t="n">
        <v>0.3021</v>
      </c>
      <c r="J292" s="4" t="n">
        <v>0.929</v>
      </c>
      <c r="K292" s="4" t="n">
        <v>45</v>
      </c>
      <c r="L292" s="4" t="n">
        <v>30</v>
      </c>
      <c r="M292" s="4" t="n">
        <v>8</v>
      </c>
      <c r="N292" s="4" t="n">
        <v>1</v>
      </c>
    </row>
    <row r="293" customFormat="false" ht="15" hidden="false" customHeight="false" outlineLevel="0" collapsed="false">
      <c r="A293" s="4" t="s">
        <v>635</v>
      </c>
      <c r="B293" s="4" t="s">
        <v>246</v>
      </c>
      <c r="C293" s="4" t="s">
        <v>320</v>
      </c>
      <c r="D293" s="4" t="n">
        <v>40420.87</v>
      </c>
      <c r="E293" s="4" t="n">
        <v>0.1158</v>
      </c>
      <c r="F293" s="4" t="n">
        <v>35738.22</v>
      </c>
      <c r="G293" s="4" t="n">
        <v>28632.37</v>
      </c>
      <c r="H293" s="4" t="n">
        <v>7105.85</v>
      </c>
      <c r="I293" s="4" t="n">
        <v>0.1988</v>
      </c>
      <c r="J293" s="4" t="n">
        <v>0.989</v>
      </c>
      <c r="K293" s="4" t="n">
        <v>54</v>
      </c>
      <c r="L293" s="4" t="n">
        <v>90</v>
      </c>
      <c r="M293" s="4" t="n">
        <v>9</v>
      </c>
      <c r="N293" s="4" t="n">
        <v>1</v>
      </c>
    </row>
    <row r="294" customFormat="false" ht="15" hidden="false" customHeight="false" outlineLevel="0" collapsed="false">
      <c r="A294" s="4" t="s">
        <v>636</v>
      </c>
      <c r="B294" s="4" t="s">
        <v>80</v>
      </c>
      <c r="C294" s="4" t="s">
        <v>265</v>
      </c>
      <c r="D294" s="4" t="n">
        <v>383331.4</v>
      </c>
      <c r="E294" s="4" t="n">
        <v>0.0595</v>
      </c>
      <c r="F294" s="4" t="n">
        <v>360536.27</v>
      </c>
      <c r="G294" s="4" t="n">
        <v>271504.66</v>
      </c>
      <c r="H294" s="4" t="n">
        <v>89031.61</v>
      </c>
      <c r="I294" s="4" t="n">
        <v>0.2469</v>
      </c>
      <c r="J294" s="4" t="n">
        <v>1.062</v>
      </c>
      <c r="K294" s="4" t="n">
        <v>68</v>
      </c>
      <c r="L294" s="4" t="n">
        <v>30</v>
      </c>
      <c r="M294" s="4" t="n">
        <v>6</v>
      </c>
      <c r="N294" s="4" t="n">
        <v>0</v>
      </c>
    </row>
    <row r="295" customFormat="false" ht="15" hidden="false" customHeight="false" outlineLevel="0" collapsed="false">
      <c r="A295" s="4" t="s">
        <v>637</v>
      </c>
      <c r="B295" s="4" t="s">
        <v>94</v>
      </c>
      <c r="C295" s="4" t="s">
        <v>308</v>
      </c>
      <c r="D295" s="4" t="n">
        <v>69771.65</v>
      </c>
      <c r="E295" s="4" t="n">
        <v>0.1178</v>
      </c>
      <c r="F295" s="4" t="n">
        <v>61555.66</v>
      </c>
      <c r="G295" s="4" t="n">
        <v>61140.5</v>
      </c>
      <c r="H295" s="4" t="n">
        <v>415.16</v>
      </c>
      <c r="I295" s="4" t="n">
        <v>0.0067</v>
      </c>
      <c r="J295" s="4" t="n">
        <v>1.073</v>
      </c>
      <c r="K295" s="4" t="n">
        <v>57</v>
      </c>
      <c r="L295" s="4" t="n">
        <v>60</v>
      </c>
      <c r="M295" s="4" t="n">
        <v>7</v>
      </c>
      <c r="N295" s="4" t="n">
        <v>1</v>
      </c>
    </row>
    <row r="296" customFormat="false" ht="15" hidden="false" customHeight="false" outlineLevel="0" collapsed="false">
      <c r="A296" s="4" t="s">
        <v>638</v>
      </c>
      <c r="B296" s="4" t="s">
        <v>116</v>
      </c>
      <c r="C296" s="4" t="s">
        <v>294</v>
      </c>
      <c r="D296" s="4" t="n">
        <v>4617529.7</v>
      </c>
      <c r="E296" s="4" t="n">
        <v>0.0672</v>
      </c>
      <c r="F296" s="4" t="n">
        <v>4307174.44</v>
      </c>
      <c r="G296" s="4" t="n">
        <v>3286402.7</v>
      </c>
      <c r="H296" s="4" t="n">
        <v>1020771.74</v>
      </c>
      <c r="I296" s="4" t="n">
        <v>0.237</v>
      </c>
      <c r="J296" s="4" t="n">
        <v>1.056</v>
      </c>
      <c r="K296" s="4" t="n">
        <v>116</v>
      </c>
      <c r="L296" s="4" t="n">
        <v>90</v>
      </c>
      <c r="M296" s="4" t="n">
        <v>5</v>
      </c>
      <c r="N296" s="4" t="n">
        <v>0</v>
      </c>
    </row>
    <row r="297" customFormat="false" ht="15" hidden="false" customHeight="false" outlineLevel="0" collapsed="false">
      <c r="A297" s="4" t="s">
        <v>639</v>
      </c>
      <c r="B297" s="4" t="s">
        <v>138</v>
      </c>
      <c r="C297" s="4" t="s">
        <v>304</v>
      </c>
      <c r="D297" s="4" t="n">
        <v>82415.95</v>
      </c>
      <c r="E297" s="4" t="n">
        <v>0.1617</v>
      </c>
      <c r="F297" s="4" t="n">
        <v>69087.44</v>
      </c>
      <c r="G297" s="4" t="n">
        <v>62682.1</v>
      </c>
      <c r="H297" s="4" t="n">
        <v>6405.34</v>
      </c>
      <c r="I297" s="4" t="n">
        <v>0.0927</v>
      </c>
      <c r="J297" s="4" t="n">
        <v>0.946</v>
      </c>
      <c r="K297" s="4" t="n">
        <v>50</v>
      </c>
      <c r="L297" s="4" t="n">
        <v>30</v>
      </c>
      <c r="M297" s="4" t="n">
        <v>3</v>
      </c>
      <c r="N297" s="4" t="n">
        <v>0</v>
      </c>
    </row>
    <row r="298" customFormat="false" ht="15" hidden="false" customHeight="false" outlineLevel="0" collapsed="false">
      <c r="A298" s="4" t="s">
        <v>640</v>
      </c>
      <c r="B298" s="4" t="s">
        <v>176</v>
      </c>
      <c r="C298" s="4" t="s">
        <v>300</v>
      </c>
      <c r="D298" s="4" t="n">
        <v>73132.95</v>
      </c>
      <c r="E298" s="4" t="n">
        <v>0.0707</v>
      </c>
      <c r="F298" s="4" t="n">
        <v>67964.93</v>
      </c>
      <c r="G298" s="4" t="n">
        <v>60488.22</v>
      </c>
      <c r="H298" s="4" t="n">
        <v>7476.71</v>
      </c>
      <c r="I298" s="4" t="n">
        <v>0.11</v>
      </c>
      <c r="J298" s="4" t="n">
        <v>0.867</v>
      </c>
      <c r="K298" s="4" t="n">
        <v>77</v>
      </c>
      <c r="L298" s="4" t="n">
        <v>45</v>
      </c>
      <c r="M298" s="4" t="n">
        <v>11</v>
      </c>
      <c r="N298" s="4" t="n">
        <v>1</v>
      </c>
    </row>
    <row r="299" customFormat="false" ht="15" hidden="false" customHeight="false" outlineLevel="0" collapsed="false">
      <c r="A299" s="4" t="s">
        <v>641</v>
      </c>
      <c r="B299" s="4" t="s">
        <v>178</v>
      </c>
      <c r="C299" s="4" t="s">
        <v>316</v>
      </c>
      <c r="D299" s="4" t="n">
        <v>1433800.4</v>
      </c>
      <c r="E299" s="4" t="n">
        <v>0.0936</v>
      </c>
      <c r="F299" s="4" t="n">
        <v>1299593.64</v>
      </c>
      <c r="G299" s="4" t="n">
        <v>912911.12</v>
      </c>
      <c r="H299" s="4" t="n">
        <v>386682.52</v>
      </c>
      <c r="I299" s="4" t="n">
        <v>0.2975</v>
      </c>
      <c r="J299" s="4" t="n">
        <v>1.061</v>
      </c>
      <c r="K299" s="4" t="n">
        <v>55</v>
      </c>
      <c r="L299" s="4" t="n">
        <v>60</v>
      </c>
      <c r="M299" s="4" t="n">
        <v>4</v>
      </c>
      <c r="N299" s="4" t="n">
        <v>0</v>
      </c>
    </row>
    <row r="300" customFormat="false" ht="15" hidden="false" customHeight="false" outlineLevel="0" collapsed="false">
      <c r="A300" s="4" t="s">
        <v>642</v>
      </c>
      <c r="B300" s="4" t="s">
        <v>180</v>
      </c>
      <c r="C300" s="4" t="s">
        <v>314</v>
      </c>
      <c r="D300" s="4" t="n">
        <v>1248776.79</v>
      </c>
      <c r="E300" s="4" t="n">
        <v>0.0623</v>
      </c>
      <c r="F300" s="4" t="n">
        <v>1170985.58</v>
      </c>
      <c r="G300" s="4" t="n">
        <v>864676.59</v>
      </c>
      <c r="H300" s="4" t="n">
        <v>306308.99</v>
      </c>
      <c r="I300" s="4" t="n">
        <v>0.2616</v>
      </c>
      <c r="J300" s="4" t="n">
        <v>1.061</v>
      </c>
      <c r="K300" s="4" t="n">
        <v>66</v>
      </c>
      <c r="L300" s="4" t="n">
        <v>45</v>
      </c>
      <c r="M300" s="4" t="n">
        <v>0</v>
      </c>
      <c r="N300" s="4" t="n">
        <v>0</v>
      </c>
    </row>
    <row r="301" customFormat="false" ht="15" hidden="false" customHeight="false" outlineLevel="0" collapsed="false">
      <c r="A301" s="4" t="s">
        <v>643</v>
      </c>
      <c r="B301" s="4" t="s">
        <v>100</v>
      </c>
      <c r="C301" s="4" t="s">
        <v>284</v>
      </c>
      <c r="D301" s="4" t="n">
        <v>88946.22</v>
      </c>
      <c r="E301" s="4" t="n">
        <v>0.1143</v>
      </c>
      <c r="F301" s="4" t="n">
        <v>78779.04</v>
      </c>
      <c r="G301" s="4" t="n">
        <v>63611.68</v>
      </c>
      <c r="H301" s="4" t="n">
        <v>15167.36</v>
      </c>
      <c r="I301" s="4" t="n">
        <v>0.1925</v>
      </c>
      <c r="J301" s="4" t="n">
        <v>1.074</v>
      </c>
      <c r="K301" s="4" t="n">
        <v>75</v>
      </c>
      <c r="L301" s="4" t="n">
        <v>30</v>
      </c>
      <c r="M301" s="4" t="n">
        <v>0</v>
      </c>
      <c r="N301" s="4" t="n">
        <v>1</v>
      </c>
    </row>
    <row r="302" customFormat="false" ht="15" hidden="false" customHeight="false" outlineLevel="0" collapsed="false">
      <c r="A302" s="4" t="s">
        <v>644</v>
      </c>
      <c r="B302" s="4" t="s">
        <v>230</v>
      </c>
      <c r="C302" s="4" t="s">
        <v>312</v>
      </c>
      <c r="D302" s="4" t="n">
        <v>156611.08</v>
      </c>
      <c r="E302" s="4" t="n">
        <v>0.0572</v>
      </c>
      <c r="F302" s="4" t="n">
        <v>147655.44</v>
      </c>
      <c r="G302" s="4" t="n">
        <v>103384.28</v>
      </c>
      <c r="H302" s="4" t="n">
        <v>44271.16</v>
      </c>
      <c r="I302" s="4" t="n">
        <v>0.2998</v>
      </c>
      <c r="J302" s="4" t="n">
        <v>0.927</v>
      </c>
      <c r="K302" s="4" t="n">
        <v>69</v>
      </c>
      <c r="L302" s="4" t="n">
        <v>30</v>
      </c>
      <c r="M302" s="4" t="n">
        <v>0</v>
      </c>
      <c r="N302" s="4" t="n">
        <v>0</v>
      </c>
    </row>
    <row r="303" customFormat="false" ht="15" hidden="false" customHeight="false" outlineLevel="0" collapsed="false">
      <c r="A303" s="4" t="s">
        <v>645</v>
      </c>
      <c r="B303" s="4" t="s">
        <v>122</v>
      </c>
      <c r="C303" s="4" t="s">
        <v>276</v>
      </c>
      <c r="D303" s="4" t="n">
        <v>97256</v>
      </c>
      <c r="E303" s="4" t="n">
        <v>0.0372</v>
      </c>
      <c r="F303" s="4" t="n">
        <v>93634.46</v>
      </c>
      <c r="G303" s="4" t="n">
        <v>64568.66</v>
      </c>
      <c r="H303" s="4" t="n">
        <v>29065.8</v>
      </c>
      <c r="I303" s="4" t="n">
        <v>0.3104</v>
      </c>
      <c r="J303" s="4" t="n">
        <v>1.108</v>
      </c>
      <c r="K303" s="4" t="n">
        <v>96</v>
      </c>
      <c r="L303" s="4" t="n">
        <v>120</v>
      </c>
      <c r="M303" s="4" t="n">
        <v>0</v>
      </c>
      <c r="N303" s="4" t="n">
        <v>1</v>
      </c>
    </row>
    <row r="304" customFormat="false" ht="15" hidden="false" customHeight="false" outlineLevel="0" collapsed="false">
      <c r="A304" s="4" t="s">
        <v>646</v>
      </c>
      <c r="B304" s="4" t="s">
        <v>84</v>
      </c>
      <c r="C304" s="4" t="s">
        <v>328</v>
      </c>
      <c r="D304" s="4" t="n">
        <v>23794.94</v>
      </c>
      <c r="E304" s="4" t="n">
        <v>0.0757</v>
      </c>
      <c r="F304" s="4" t="n">
        <v>21994.71</v>
      </c>
      <c r="G304" s="4" t="n">
        <v>15583.55</v>
      </c>
      <c r="H304" s="4" t="n">
        <v>6411.16</v>
      </c>
      <c r="I304" s="4" t="n">
        <v>0.2915</v>
      </c>
      <c r="J304" s="4" t="n">
        <v>1.124</v>
      </c>
      <c r="K304" s="4" t="n">
        <v>52</v>
      </c>
      <c r="L304" s="4" t="n">
        <v>60</v>
      </c>
      <c r="M304" s="4" t="n">
        <v>0</v>
      </c>
      <c r="N304" s="4" t="n">
        <v>0</v>
      </c>
    </row>
    <row r="305" customFormat="false" ht="15" hidden="false" customHeight="false" outlineLevel="0" collapsed="false">
      <c r="A305" s="4" t="s">
        <v>647</v>
      </c>
      <c r="B305" s="4" t="s">
        <v>42</v>
      </c>
      <c r="C305" s="4" t="s">
        <v>281</v>
      </c>
      <c r="D305" s="4" t="n">
        <v>19878.33</v>
      </c>
      <c r="E305" s="4" t="n">
        <v>0</v>
      </c>
      <c r="F305" s="4" t="n">
        <v>19878.33</v>
      </c>
      <c r="G305" s="4" t="n">
        <v>15827.62</v>
      </c>
      <c r="H305" s="4" t="n">
        <v>4050.71</v>
      </c>
      <c r="I305" s="4" t="n">
        <v>0.2038</v>
      </c>
      <c r="J305" s="4" t="n">
        <v>0.916</v>
      </c>
      <c r="K305" s="4" t="n">
        <v>76</v>
      </c>
      <c r="L305" s="4" t="n">
        <v>30</v>
      </c>
      <c r="M305" s="4" t="n">
        <v>2</v>
      </c>
      <c r="N305" s="4" t="n">
        <v>0</v>
      </c>
    </row>
    <row r="306" customFormat="false" ht="15" hidden="false" customHeight="false" outlineLevel="0" collapsed="false">
      <c r="A306" s="4" t="s">
        <v>648</v>
      </c>
      <c r="B306" s="4" t="s">
        <v>150</v>
      </c>
      <c r="C306" s="4" t="s">
        <v>302</v>
      </c>
      <c r="D306" s="4" t="n">
        <v>68512.32</v>
      </c>
      <c r="E306" s="4" t="n">
        <v>0.1351</v>
      </c>
      <c r="F306" s="4" t="n">
        <v>59253.17</v>
      </c>
      <c r="G306" s="4" t="n">
        <v>53970.84</v>
      </c>
      <c r="H306" s="4" t="n">
        <v>5282.33</v>
      </c>
      <c r="I306" s="4" t="n">
        <v>0.0891</v>
      </c>
      <c r="J306" s="4" t="n">
        <v>0.79</v>
      </c>
      <c r="K306" s="4" t="n">
        <v>43</v>
      </c>
      <c r="L306" s="4" t="n">
        <v>45</v>
      </c>
      <c r="M306" s="4" t="n">
        <v>2</v>
      </c>
      <c r="N306" s="4" t="n">
        <v>1</v>
      </c>
    </row>
    <row r="307" customFormat="false" ht="15" hidden="false" customHeight="false" outlineLevel="0" collapsed="false">
      <c r="A307" s="4" t="s">
        <v>649</v>
      </c>
      <c r="B307" s="4" t="s">
        <v>158</v>
      </c>
      <c r="C307" s="4" t="s">
        <v>296</v>
      </c>
      <c r="D307" s="4" t="n">
        <v>1031419.21</v>
      </c>
      <c r="E307" s="4" t="n">
        <v>0.0768</v>
      </c>
      <c r="F307" s="4" t="n">
        <v>952250.97</v>
      </c>
      <c r="G307" s="4" t="n">
        <v>633237.02</v>
      </c>
      <c r="H307" s="4" t="n">
        <v>319013.95</v>
      </c>
      <c r="I307" s="4" t="n">
        <v>0.335</v>
      </c>
      <c r="J307" s="4" t="n">
        <v>0.958</v>
      </c>
      <c r="K307" s="4" t="n">
        <v>55</v>
      </c>
      <c r="L307" s="4" t="n">
        <v>45</v>
      </c>
      <c r="M307" s="4" t="n">
        <v>3</v>
      </c>
      <c r="N307" s="4" t="n">
        <v>0</v>
      </c>
    </row>
    <row r="308" customFormat="false" ht="15" hidden="false" customHeight="false" outlineLevel="0" collapsed="false">
      <c r="A308" s="4" t="s">
        <v>650</v>
      </c>
      <c r="B308" s="4" t="s">
        <v>144</v>
      </c>
      <c r="C308" s="4" t="s">
        <v>324</v>
      </c>
      <c r="D308" s="4" t="n">
        <v>108309.93</v>
      </c>
      <c r="E308" s="4" t="n">
        <v>0.1655</v>
      </c>
      <c r="F308" s="4" t="n">
        <v>90382.74</v>
      </c>
      <c r="G308" s="4" t="n">
        <v>79597.02</v>
      </c>
      <c r="H308" s="4" t="n">
        <v>10785.72</v>
      </c>
      <c r="I308" s="4" t="n">
        <v>0.1193</v>
      </c>
      <c r="J308" s="4" t="n">
        <v>0.976</v>
      </c>
      <c r="K308" s="4" t="n">
        <v>79</v>
      </c>
      <c r="L308" s="4" t="n">
        <v>90</v>
      </c>
      <c r="M308" s="4" t="n">
        <v>2</v>
      </c>
      <c r="N308" s="4" t="n">
        <v>1</v>
      </c>
    </row>
    <row r="309" customFormat="false" ht="15" hidden="false" customHeight="false" outlineLevel="0" collapsed="false">
      <c r="A309" s="4" t="s">
        <v>651</v>
      </c>
      <c r="B309" s="4" t="s">
        <v>162</v>
      </c>
      <c r="C309" s="4" t="s">
        <v>279</v>
      </c>
      <c r="D309" s="4" t="n">
        <v>108127.96</v>
      </c>
      <c r="E309" s="4" t="n">
        <v>0.0792</v>
      </c>
      <c r="F309" s="4" t="n">
        <v>99563.27</v>
      </c>
      <c r="G309" s="4" t="n">
        <v>91012.58</v>
      </c>
      <c r="H309" s="4" t="n">
        <v>8550.69</v>
      </c>
      <c r="I309" s="4" t="n">
        <v>0.0859</v>
      </c>
      <c r="J309" s="4" t="n">
        <v>1.068</v>
      </c>
      <c r="K309" s="4" t="n">
        <v>64</v>
      </c>
      <c r="L309" s="4" t="n">
        <v>45</v>
      </c>
      <c r="M309" s="4" t="n">
        <v>0</v>
      </c>
      <c r="N309" s="4" t="n">
        <v>0</v>
      </c>
    </row>
    <row r="310" customFormat="false" ht="15" hidden="false" customHeight="false" outlineLevel="0" collapsed="false">
      <c r="A310" s="4" t="s">
        <v>652</v>
      </c>
      <c r="B310" s="4" t="s">
        <v>88</v>
      </c>
      <c r="C310" s="4" t="s">
        <v>292</v>
      </c>
      <c r="D310" s="4" t="n">
        <v>200636.36</v>
      </c>
      <c r="E310" s="4" t="n">
        <v>0.0488</v>
      </c>
      <c r="F310" s="4" t="n">
        <v>190853.05</v>
      </c>
      <c r="G310" s="4" t="n">
        <v>148243.36</v>
      </c>
      <c r="H310" s="4" t="n">
        <v>42609.69</v>
      </c>
      <c r="I310" s="4" t="n">
        <v>0.2233</v>
      </c>
      <c r="J310" s="4" t="n">
        <v>1.114</v>
      </c>
      <c r="K310" s="4" t="n">
        <v>65</v>
      </c>
      <c r="L310" s="4" t="n">
        <v>90</v>
      </c>
      <c r="M310" s="4" t="n">
        <v>4</v>
      </c>
      <c r="N310" s="4" t="n">
        <v>0</v>
      </c>
    </row>
    <row r="311" customFormat="false" ht="15" hidden="false" customHeight="false" outlineLevel="0" collapsed="false">
      <c r="A311" s="4" t="s">
        <v>653</v>
      </c>
      <c r="B311" s="4" t="s">
        <v>238</v>
      </c>
      <c r="C311" s="4" t="s">
        <v>310</v>
      </c>
      <c r="D311" s="4" t="n">
        <v>51479.55</v>
      </c>
      <c r="E311" s="4" t="n">
        <v>0.0469</v>
      </c>
      <c r="F311" s="4" t="n">
        <v>49067.06</v>
      </c>
      <c r="G311" s="4" t="n">
        <v>36498.21</v>
      </c>
      <c r="H311" s="4" t="n">
        <v>12568.85</v>
      </c>
      <c r="I311" s="4" t="n">
        <v>0.2562</v>
      </c>
      <c r="J311" s="4" t="n">
        <v>0.993</v>
      </c>
      <c r="K311" s="4" t="n">
        <v>65</v>
      </c>
      <c r="L311" s="4" t="n">
        <v>45</v>
      </c>
      <c r="M311" s="4" t="n">
        <v>1</v>
      </c>
      <c r="N311" s="4" t="n">
        <v>0</v>
      </c>
    </row>
    <row r="312" customFormat="false" ht="15" hidden="false" customHeight="false" outlineLevel="0" collapsed="false">
      <c r="A312" s="4" t="s">
        <v>654</v>
      </c>
      <c r="B312" s="4" t="s">
        <v>112</v>
      </c>
      <c r="C312" s="4" t="s">
        <v>310</v>
      </c>
      <c r="D312" s="4" t="n">
        <v>51479.55</v>
      </c>
      <c r="E312" s="4" t="n">
        <v>0.1173</v>
      </c>
      <c r="F312" s="4" t="n">
        <v>45440.06</v>
      </c>
      <c r="G312" s="4" t="n">
        <v>36498.21</v>
      </c>
      <c r="H312" s="4" t="n">
        <v>8941.85</v>
      </c>
      <c r="I312" s="4" t="n">
        <v>0.1968</v>
      </c>
      <c r="J312" s="4" t="n">
        <v>0.935</v>
      </c>
      <c r="K312" s="4" t="n">
        <v>71</v>
      </c>
      <c r="L312" s="4" t="n">
        <v>30</v>
      </c>
      <c r="M312" s="4" t="n">
        <v>0</v>
      </c>
      <c r="N312" s="4" t="n">
        <v>1</v>
      </c>
    </row>
    <row r="313" customFormat="false" ht="15" hidden="false" customHeight="false" outlineLevel="0" collapsed="false">
      <c r="A313" s="4" t="s">
        <v>655</v>
      </c>
      <c r="B313" s="4" t="s">
        <v>152</v>
      </c>
      <c r="C313" s="4" t="s">
        <v>281</v>
      </c>
      <c r="D313" s="4" t="n">
        <v>99391.65</v>
      </c>
      <c r="E313" s="4" t="n">
        <v>0</v>
      </c>
      <c r="F313" s="4" t="n">
        <v>99391.65</v>
      </c>
      <c r="G313" s="4" t="n">
        <v>79138.1</v>
      </c>
      <c r="H313" s="4" t="n">
        <v>20253.55</v>
      </c>
      <c r="I313" s="4" t="n">
        <v>0.2038</v>
      </c>
      <c r="J313" s="4" t="n">
        <v>0.908</v>
      </c>
      <c r="K313" s="4" t="n">
        <v>60</v>
      </c>
      <c r="L313" s="4" t="n">
        <v>30</v>
      </c>
      <c r="M313" s="4" t="n">
        <v>5</v>
      </c>
      <c r="N313" s="4" t="n">
        <v>0</v>
      </c>
    </row>
    <row r="314" customFormat="false" ht="15" hidden="false" customHeight="false" outlineLevel="0" collapsed="false">
      <c r="A314" s="4" t="s">
        <v>656</v>
      </c>
      <c r="B314" s="4" t="s">
        <v>180</v>
      </c>
      <c r="C314" s="4" t="s">
        <v>328</v>
      </c>
      <c r="D314" s="4" t="n">
        <v>95179.76</v>
      </c>
      <c r="E314" s="4" t="n">
        <v>0.1666</v>
      </c>
      <c r="F314" s="4" t="n">
        <v>79319.32</v>
      </c>
      <c r="G314" s="4" t="n">
        <v>62334.2</v>
      </c>
      <c r="H314" s="4" t="n">
        <v>16985.12</v>
      </c>
      <c r="I314" s="4" t="n">
        <v>0.2141</v>
      </c>
      <c r="J314" s="4" t="n">
        <v>0.863</v>
      </c>
      <c r="K314" s="4" t="n">
        <v>38</v>
      </c>
      <c r="L314" s="4" t="n">
        <v>120</v>
      </c>
      <c r="M314" s="4" t="n">
        <v>11</v>
      </c>
      <c r="N314" s="4" t="n">
        <v>1</v>
      </c>
    </row>
    <row r="315" customFormat="false" ht="15" hidden="false" customHeight="false" outlineLevel="0" collapsed="false">
      <c r="A315" s="4" t="s">
        <v>657</v>
      </c>
      <c r="B315" s="4" t="s">
        <v>196</v>
      </c>
      <c r="C315" s="4" t="s">
        <v>292</v>
      </c>
      <c r="D315" s="4" t="n">
        <v>200636.36</v>
      </c>
      <c r="E315" s="4" t="n">
        <v>0.0824</v>
      </c>
      <c r="F315" s="4" t="n">
        <v>184108.57</v>
      </c>
      <c r="G315" s="4" t="n">
        <v>148243.36</v>
      </c>
      <c r="H315" s="4" t="n">
        <v>35865.21</v>
      </c>
      <c r="I315" s="4" t="n">
        <v>0.1948</v>
      </c>
      <c r="J315" s="4" t="n">
        <v>0.918</v>
      </c>
      <c r="K315" s="4" t="n">
        <v>50</v>
      </c>
      <c r="L315" s="4" t="n">
        <v>30</v>
      </c>
      <c r="M315" s="4" t="n">
        <v>0</v>
      </c>
      <c r="N315" s="4" t="n">
        <v>1</v>
      </c>
    </row>
    <row r="316" customFormat="false" ht="15" hidden="false" customHeight="false" outlineLevel="0" collapsed="false">
      <c r="A316" s="4" t="s">
        <v>658</v>
      </c>
      <c r="B316" s="4" t="s">
        <v>186</v>
      </c>
      <c r="C316" s="4" t="s">
        <v>276</v>
      </c>
      <c r="D316" s="4" t="n">
        <v>48628</v>
      </c>
      <c r="E316" s="4" t="n">
        <v>0.0855</v>
      </c>
      <c r="F316" s="4" t="n">
        <v>44471.39</v>
      </c>
      <c r="G316" s="4" t="n">
        <v>32284.33</v>
      </c>
      <c r="H316" s="4" t="n">
        <v>12187.06</v>
      </c>
      <c r="I316" s="4" t="n">
        <v>0.274</v>
      </c>
      <c r="J316" s="4" t="n">
        <v>0.896</v>
      </c>
      <c r="K316" s="4" t="n">
        <v>55</v>
      </c>
      <c r="L316" s="4" t="n">
        <v>45</v>
      </c>
      <c r="M316" s="4" t="n">
        <v>8</v>
      </c>
      <c r="N316" s="4" t="n">
        <v>1</v>
      </c>
    </row>
    <row r="317" customFormat="false" ht="15" hidden="false" customHeight="false" outlineLevel="0" collapsed="false">
      <c r="A317" s="4" t="s">
        <v>659</v>
      </c>
      <c r="B317" s="4" t="s">
        <v>140</v>
      </c>
      <c r="C317" s="4" t="s">
        <v>308</v>
      </c>
      <c r="D317" s="4" t="n">
        <v>27908.66</v>
      </c>
      <c r="E317" s="4" t="n">
        <v>0.0167</v>
      </c>
      <c r="F317" s="4" t="n">
        <v>27442.09</v>
      </c>
      <c r="G317" s="4" t="n">
        <v>24456.2</v>
      </c>
      <c r="H317" s="4" t="n">
        <v>2985.89</v>
      </c>
      <c r="I317" s="4" t="n">
        <v>0.1088</v>
      </c>
      <c r="J317" s="4" t="n">
        <v>1.004</v>
      </c>
      <c r="K317" s="4" t="n">
        <v>30</v>
      </c>
      <c r="L317" s="4" t="n">
        <v>60</v>
      </c>
      <c r="M317" s="4" t="n">
        <v>0</v>
      </c>
      <c r="N317" s="4" t="n">
        <v>1</v>
      </c>
    </row>
    <row r="318" customFormat="false" ht="15" hidden="false" customHeight="false" outlineLevel="0" collapsed="false">
      <c r="A318" s="4" t="s">
        <v>660</v>
      </c>
      <c r="B318" s="4" t="s">
        <v>60</v>
      </c>
      <c r="C318" s="4" t="s">
        <v>306</v>
      </c>
      <c r="D318" s="4" t="n">
        <v>187438.7</v>
      </c>
      <c r="E318" s="4" t="n">
        <v>0</v>
      </c>
      <c r="F318" s="4" t="n">
        <v>187438.7</v>
      </c>
      <c r="G318" s="4" t="n">
        <v>130211.96</v>
      </c>
      <c r="H318" s="4" t="n">
        <v>57226.74</v>
      </c>
      <c r="I318" s="4" t="n">
        <v>0.3053</v>
      </c>
      <c r="J318" s="4" t="n">
        <v>0.915</v>
      </c>
      <c r="K318" s="4" t="n">
        <v>62</v>
      </c>
      <c r="L318" s="4" t="n">
        <v>45</v>
      </c>
      <c r="M318" s="4" t="n">
        <v>0</v>
      </c>
      <c r="N318" s="4" t="n">
        <v>0</v>
      </c>
    </row>
    <row r="319" customFormat="false" ht="15" hidden="false" customHeight="false" outlineLevel="0" collapsed="false">
      <c r="A319" s="4" t="s">
        <v>661</v>
      </c>
      <c r="B319" s="4" t="s">
        <v>100</v>
      </c>
      <c r="C319" s="4" t="s">
        <v>324</v>
      </c>
      <c r="D319" s="4" t="n">
        <v>180516.55</v>
      </c>
      <c r="E319" s="4" t="n">
        <v>0.1081</v>
      </c>
      <c r="F319" s="4" t="n">
        <v>161011.32</v>
      </c>
      <c r="G319" s="4" t="n">
        <v>132661.7</v>
      </c>
      <c r="H319" s="4" t="n">
        <v>28349.62</v>
      </c>
      <c r="I319" s="4" t="n">
        <v>0.1761</v>
      </c>
      <c r="J319" s="4" t="n">
        <v>1.051</v>
      </c>
      <c r="K319" s="4" t="n">
        <v>73</v>
      </c>
      <c r="L319" s="4" t="n">
        <v>30</v>
      </c>
      <c r="M319" s="4" t="n">
        <v>5</v>
      </c>
      <c r="N319" s="4" t="n">
        <v>1</v>
      </c>
    </row>
    <row r="320" customFormat="false" ht="15" hidden="false" customHeight="false" outlineLevel="0" collapsed="false">
      <c r="A320" s="4" t="s">
        <v>662</v>
      </c>
      <c r="B320" s="4" t="s">
        <v>222</v>
      </c>
      <c r="C320" s="4" t="s">
        <v>298</v>
      </c>
      <c r="D320" s="4" t="n">
        <v>3566891.84</v>
      </c>
      <c r="E320" s="4" t="n">
        <v>0.0201</v>
      </c>
      <c r="F320" s="4" t="n">
        <v>3495168.82</v>
      </c>
      <c r="G320" s="4" t="n">
        <v>2693097.4</v>
      </c>
      <c r="H320" s="4" t="n">
        <v>802071.42</v>
      </c>
      <c r="I320" s="4" t="n">
        <v>0.2295</v>
      </c>
      <c r="J320" s="4" t="n">
        <v>0.917</v>
      </c>
      <c r="K320" s="4" t="n">
        <v>30</v>
      </c>
      <c r="L320" s="4" t="n">
        <v>90</v>
      </c>
      <c r="M320" s="4" t="n">
        <v>16</v>
      </c>
      <c r="N320" s="4" t="n">
        <v>1</v>
      </c>
    </row>
    <row r="321" customFormat="false" ht="15" hidden="false" customHeight="false" outlineLevel="0" collapsed="false">
      <c r="A321" s="4" t="s">
        <v>663</v>
      </c>
      <c r="B321" s="4" t="s">
        <v>120</v>
      </c>
      <c r="C321" s="4" t="s">
        <v>306</v>
      </c>
      <c r="D321" s="4" t="n">
        <v>93719.35</v>
      </c>
      <c r="E321" s="4" t="n">
        <v>0</v>
      </c>
      <c r="F321" s="4" t="n">
        <v>93719.35</v>
      </c>
      <c r="G321" s="4" t="n">
        <v>65105.98</v>
      </c>
      <c r="H321" s="4" t="n">
        <v>28613.37</v>
      </c>
      <c r="I321" s="4" t="n">
        <v>0.3053</v>
      </c>
      <c r="J321" s="4" t="n">
        <v>0.98</v>
      </c>
      <c r="K321" s="4" t="n">
        <v>43</v>
      </c>
      <c r="L321" s="4" t="n">
        <v>60</v>
      </c>
      <c r="M321" s="4" t="n">
        <v>1</v>
      </c>
      <c r="N321" s="4" t="n">
        <v>1</v>
      </c>
    </row>
    <row r="322" customFormat="false" ht="15" hidden="false" customHeight="false" outlineLevel="0" collapsed="false">
      <c r="A322" s="4" t="s">
        <v>664</v>
      </c>
      <c r="B322" s="4" t="s">
        <v>90</v>
      </c>
      <c r="C322" s="4" t="s">
        <v>326</v>
      </c>
      <c r="D322" s="4" t="n">
        <v>254586.96</v>
      </c>
      <c r="E322" s="4" t="n">
        <v>0.0354</v>
      </c>
      <c r="F322" s="4" t="n">
        <v>245569.77</v>
      </c>
      <c r="G322" s="4" t="n">
        <v>164176.44</v>
      </c>
      <c r="H322" s="4" t="n">
        <v>81393.33</v>
      </c>
      <c r="I322" s="4" t="n">
        <v>0.3314</v>
      </c>
      <c r="J322" s="4" t="n">
        <v>1.053</v>
      </c>
      <c r="K322" s="4" t="n">
        <v>60</v>
      </c>
      <c r="L322" s="4" t="n">
        <v>45</v>
      </c>
      <c r="M322" s="4" t="n">
        <v>4</v>
      </c>
      <c r="N322" s="4" t="n">
        <v>0</v>
      </c>
    </row>
    <row r="323" customFormat="false" ht="15" hidden="false" customHeight="false" outlineLevel="0" collapsed="false">
      <c r="A323" s="4" t="s">
        <v>665</v>
      </c>
      <c r="B323" s="4" t="s">
        <v>57</v>
      </c>
      <c r="C323" s="4" t="s">
        <v>324</v>
      </c>
      <c r="D323" s="4" t="n">
        <v>72206.62</v>
      </c>
      <c r="E323" s="4" t="n">
        <v>0.0107</v>
      </c>
      <c r="F323" s="4" t="n">
        <v>71432.35</v>
      </c>
      <c r="G323" s="4" t="n">
        <v>53064.68</v>
      </c>
      <c r="H323" s="4" t="n">
        <v>18367.67</v>
      </c>
      <c r="I323" s="4" t="n">
        <v>0.2571</v>
      </c>
      <c r="J323" s="4" t="n">
        <v>0.915</v>
      </c>
      <c r="K323" s="4" t="n">
        <v>65</v>
      </c>
      <c r="L323" s="4" t="n">
        <v>90</v>
      </c>
      <c r="M323" s="4" t="n">
        <v>5</v>
      </c>
      <c r="N323" s="4" t="n">
        <v>1</v>
      </c>
    </row>
    <row r="324" customFormat="false" ht="15" hidden="false" customHeight="false" outlineLevel="0" collapsed="false">
      <c r="A324" s="4" t="s">
        <v>666</v>
      </c>
      <c r="B324" s="4" t="s">
        <v>192</v>
      </c>
      <c r="C324" s="4" t="s">
        <v>310</v>
      </c>
      <c r="D324" s="4" t="n">
        <v>68639.4</v>
      </c>
      <c r="E324" s="4" t="n">
        <v>0.1185</v>
      </c>
      <c r="F324" s="4" t="n">
        <v>60506.57</v>
      </c>
      <c r="G324" s="4" t="n">
        <v>48664.28</v>
      </c>
      <c r="H324" s="4" t="n">
        <v>11842.29</v>
      </c>
      <c r="I324" s="4" t="n">
        <v>0.1957</v>
      </c>
      <c r="J324" s="4" t="n">
        <v>1.005</v>
      </c>
      <c r="K324" s="4" t="n">
        <v>89</v>
      </c>
      <c r="L324" s="4" t="n">
        <v>60</v>
      </c>
      <c r="M324" s="4" t="n">
        <v>4</v>
      </c>
      <c r="N324" s="4" t="n">
        <v>1</v>
      </c>
    </row>
    <row r="325" customFormat="false" ht="15" hidden="false" customHeight="false" outlineLevel="0" collapsed="false">
      <c r="A325" s="4" t="s">
        <v>667</v>
      </c>
      <c r="B325" s="4" t="s">
        <v>150</v>
      </c>
      <c r="C325" s="4" t="s">
        <v>268</v>
      </c>
      <c r="D325" s="4" t="n">
        <v>831830.06</v>
      </c>
      <c r="E325" s="4" t="n">
        <v>0.1212</v>
      </c>
      <c r="F325" s="4" t="n">
        <v>731052.79</v>
      </c>
      <c r="G325" s="4" t="n">
        <v>662034.66</v>
      </c>
      <c r="H325" s="4" t="n">
        <v>69018.13</v>
      </c>
      <c r="I325" s="4" t="n">
        <v>0.0944</v>
      </c>
      <c r="J325" s="4" t="n">
        <v>1.099</v>
      </c>
      <c r="K325" s="4" t="n">
        <v>58</v>
      </c>
      <c r="L325" s="4" t="n">
        <v>90</v>
      </c>
      <c r="M325" s="4" t="n">
        <v>0</v>
      </c>
      <c r="N325" s="4" t="n">
        <v>0</v>
      </c>
    </row>
    <row r="326" customFormat="false" ht="15" hidden="false" customHeight="false" outlineLevel="0" collapsed="false">
      <c r="A326" s="4" t="s">
        <v>668</v>
      </c>
      <c r="B326" s="4" t="s">
        <v>192</v>
      </c>
      <c r="C326" s="4" t="s">
        <v>276</v>
      </c>
      <c r="D326" s="4" t="n">
        <v>194512</v>
      </c>
      <c r="E326" s="4" t="n">
        <v>0.2142</v>
      </c>
      <c r="F326" s="4" t="n">
        <v>152848.88</v>
      </c>
      <c r="G326" s="4" t="n">
        <v>129137.32</v>
      </c>
      <c r="H326" s="4" t="n">
        <v>23711.56</v>
      </c>
      <c r="I326" s="4" t="n">
        <v>0.1551</v>
      </c>
      <c r="J326" s="4" t="n">
        <v>0.995</v>
      </c>
      <c r="K326" s="4" t="n">
        <v>51</v>
      </c>
      <c r="L326" s="4" t="n">
        <v>30</v>
      </c>
      <c r="M326" s="4" t="n">
        <v>13</v>
      </c>
      <c r="N326" s="4" t="n">
        <v>0</v>
      </c>
    </row>
    <row r="327" customFormat="false" ht="15" hidden="false" customHeight="false" outlineLevel="0" collapsed="false">
      <c r="A327" s="4" t="s">
        <v>669</v>
      </c>
      <c r="B327" s="4" t="s">
        <v>238</v>
      </c>
      <c r="C327" s="4" t="s">
        <v>298</v>
      </c>
      <c r="D327" s="4" t="n">
        <v>4458614.8</v>
      </c>
      <c r="E327" s="4" t="n">
        <v>0.1652</v>
      </c>
      <c r="F327" s="4" t="n">
        <v>3722221.07</v>
      </c>
      <c r="G327" s="4" t="n">
        <v>3366371.75</v>
      </c>
      <c r="H327" s="4" t="n">
        <v>355849.32</v>
      </c>
      <c r="I327" s="4" t="n">
        <v>0.0956</v>
      </c>
      <c r="J327" s="4" t="n">
        <v>0.95</v>
      </c>
      <c r="K327" s="4" t="n">
        <v>43</v>
      </c>
      <c r="L327" s="4" t="n">
        <v>90</v>
      </c>
      <c r="M327" s="4" t="n">
        <v>10</v>
      </c>
      <c r="N327" s="4" t="n">
        <v>1</v>
      </c>
    </row>
    <row r="328" customFormat="false" ht="15" hidden="false" customHeight="false" outlineLevel="0" collapsed="false">
      <c r="A328" s="4" t="s">
        <v>670</v>
      </c>
      <c r="B328" s="4" t="s">
        <v>116</v>
      </c>
      <c r="C328" s="4" t="s">
        <v>328</v>
      </c>
      <c r="D328" s="4" t="n">
        <v>23794.94</v>
      </c>
      <c r="E328" s="4" t="n">
        <v>0.0638</v>
      </c>
      <c r="F328" s="4" t="n">
        <v>22277</v>
      </c>
      <c r="G328" s="4" t="n">
        <v>15583.55</v>
      </c>
      <c r="H328" s="4" t="n">
        <v>6693.45</v>
      </c>
      <c r="I328" s="4" t="n">
        <v>0.3005</v>
      </c>
      <c r="J328" s="4" t="n">
        <v>0.92</v>
      </c>
      <c r="K328" s="4" t="n">
        <v>39</v>
      </c>
      <c r="L328" s="4" t="n">
        <v>30</v>
      </c>
      <c r="M328" s="4" t="n">
        <v>0</v>
      </c>
      <c r="N328" s="4" t="n">
        <v>1</v>
      </c>
    </row>
    <row r="329" customFormat="false" ht="15" hidden="false" customHeight="false" outlineLevel="0" collapsed="false">
      <c r="A329" s="4" t="s">
        <v>671</v>
      </c>
      <c r="B329" s="4" t="s">
        <v>132</v>
      </c>
      <c r="C329" s="4" t="s">
        <v>276</v>
      </c>
      <c r="D329" s="4" t="n">
        <v>194512</v>
      </c>
      <c r="E329" s="4" t="n">
        <v>0.0917</v>
      </c>
      <c r="F329" s="4" t="n">
        <v>176669.46</v>
      </c>
      <c r="G329" s="4" t="n">
        <v>129137.32</v>
      </c>
      <c r="H329" s="4" t="n">
        <v>47532.14</v>
      </c>
      <c r="I329" s="4" t="n">
        <v>0.269</v>
      </c>
      <c r="J329" s="4" t="n">
        <v>1.136</v>
      </c>
      <c r="K329" s="4" t="n">
        <v>46</v>
      </c>
      <c r="L329" s="4" t="n">
        <v>30</v>
      </c>
      <c r="M329" s="4" t="n">
        <v>7</v>
      </c>
      <c r="N329" s="4" t="n">
        <v>0</v>
      </c>
    </row>
    <row r="330" customFormat="false" ht="15" hidden="false" customHeight="false" outlineLevel="0" collapsed="false">
      <c r="A330" s="4" t="s">
        <v>672</v>
      </c>
      <c r="B330" s="4" t="s">
        <v>174</v>
      </c>
      <c r="C330" s="4" t="s">
        <v>296</v>
      </c>
      <c r="D330" s="4" t="n">
        <v>5157096.05</v>
      </c>
      <c r="E330" s="4" t="n">
        <v>0.1039</v>
      </c>
      <c r="F330" s="4" t="n">
        <v>4621425.62</v>
      </c>
      <c r="G330" s="4" t="n">
        <v>3166185.1</v>
      </c>
      <c r="H330" s="4" t="n">
        <v>1455240.52</v>
      </c>
      <c r="I330" s="4" t="n">
        <v>0.3149</v>
      </c>
      <c r="J330" s="4" t="n">
        <v>0.98</v>
      </c>
      <c r="K330" s="4" t="n">
        <v>52</v>
      </c>
      <c r="L330" s="4" t="n">
        <v>60</v>
      </c>
      <c r="M330" s="4" t="n">
        <v>2</v>
      </c>
      <c r="N330" s="4" t="n">
        <v>1</v>
      </c>
    </row>
    <row r="331" customFormat="false" ht="15" hidden="false" customHeight="false" outlineLevel="0" collapsed="false">
      <c r="A331" s="4" t="s">
        <v>673</v>
      </c>
      <c r="B331" s="4" t="s">
        <v>88</v>
      </c>
      <c r="C331" s="4" t="s">
        <v>279</v>
      </c>
      <c r="D331" s="4" t="n">
        <v>108127.96</v>
      </c>
      <c r="E331" s="4" t="n">
        <v>0.1095</v>
      </c>
      <c r="F331" s="4" t="n">
        <v>96288.36</v>
      </c>
      <c r="G331" s="4" t="n">
        <v>91012.58</v>
      </c>
      <c r="H331" s="4" t="n">
        <v>5275.78</v>
      </c>
      <c r="I331" s="4" t="n">
        <v>0.0548</v>
      </c>
      <c r="J331" s="4" t="n">
        <v>1.096</v>
      </c>
      <c r="K331" s="4" t="n">
        <v>41</v>
      </c>
      <c r="L331" s="4" t="n">
        <v>45</v>
      </c>
      <c r="M331" s="4" t="n">
        <v>1</v>
      </c>
      <c r="N331" s="4" t="n">
        <v>0</v>
      </c>
    </row>
    <row r="332" customFormat="false" ht="15" hidden="false" customHeight="false" outlineLevel="0" collapsed="false">
      <c r="A332" s="4" t="s">
        <v>674</v>
      </c>
      <c r="B332" s="4" t="s">
        <v>47</v>
      </c>
      <c r="C332" s="4" t="s">
        <v>308</v>
      </c>
      <c r="D332" s="4" t="n">
        <v>13954.33</v>
      </c>
      <c r="E332" s="4" t="n">
        <v>0.0191</v>
      </c>
      <c r="F332" s="4" t="n">
        <v>13688.35</v>
      </c>
      <c r="G332" s="4" t="n">
        <v>12228.1</v>
      </c>
      <c r="H332" s="4" t="n">
        <v>1460.25</v>
      </c>
      <c r="I332" s="4" t="n">
        <v>0.1067</v>
      </c>
      <c r="J332" s="4" t="n">
        <v>1.081</v>
      </c>
      <c r="K332" s="4" t="n">
        <v>45</v>
      </c>
      <c r="L332" s="4" t="n">
        <v>90</v>
      </c>
      <c r="M332" s="4" t="n">
        <v>0</v>
      </c>
      <c r="N332" s="4" t="n">
        <v>1</v>
      </c>
    </row>
    <row r="333" customFormat="false" ht="15" hidden="false" customHeight="false" outlineLevel="0" collapsed="false">
      <c r="A333" s="4" t="s">
        <v>675</v>
      </c>
      <c r="B333" s="4" t="s">
        <v>67</v>
      </c>
      <c r="C333" s="4" t="s">
        <v>281</v>
      </c>
      <c r="D333" s="4" t="n">
        <v>39756.66</v>
      </c>
      <c r="E333" s="4" t="n">
        <v>0.1147</v>
      </c>
      <c r="F333" s="4" t="n">
        <v>35197.92</v>
      </c>
      <c r="G333" s="4" t="n">
        <v>31655.24</v>
      </c>
      <c r="H333" s="4" t="n">
        <v>3542.68</v>
      </c>
      <c r="I333" s="4" t="n">
        <v>0.1007</v>
      </c>
      <c r="J333" s="4" t="n">
        <v>1.179</v>
      </c>
      <c r="K333" s="4" t="n">
        <v>88</v>
      </c>
      <c r="L333" s="4" t="n">
        <v>120</v>
      </c>
      <c r="M333" s="4" t="n">
        <v>4</v>
      </c>
      <c r="N333" s="4" t="n">
        <v>0</v>
      </c>
    </row>
    <row r="334" customFormat="false" ht="15" hidden="false" customHeight="false" outlineLevel="0" collapsed="false">
      <c r="A334" s="4" t="s">
        <v>676</v>
      </c>
      <c r="B334" s="4" t="s">
        <v>140</v>
      </c>
      <c r="C334" s="4" t="s">
        <v>304</v>
      </c>
      <c r="D334" s="4" t="n">
        <v>247247.85</v>
      </c>
      <c r="E334" s="4" t="n">
        <v>0.0726</v>
      </c>
      <c r="F334" s="4" t="n">
        <v>229302.59</v>
      </c>
      <c r="G334" s="4" t="n">
        <v>188046.3</v>
      </c>
      <c r="H334" s="4" t="n">
        <v>41256.29</v>
      </c>
      <c r="I334" s="4" t="n">
        <v>0.1799</v>
      </c>
      <c r="J334" s="4" t="n">
        <v>1.021</v>
      </c>
      <c r="K334" s="4" t="n">
        <v>63</v>
      </c>
      <c r="L334" s="4" t="n">
        <v>60</v>
      </c>
      <c r="M334" s="4" t="n">
        <v>2</v>
      </c>
      <c r="N334" s="4" t="n">
        <v>1</v>
      </c>
    </row>
    <row r="335" customFormat="false" ht="15" hidden="false" customHeight="false" outlineLevel="0" collapsed="false">
      <c r="A335" s="4" t="s">
        <v>677</v>
      </c>
      <c r="B335" s="4" t="s">
        <v>114</v>
      </c>
      <c r="C335" s="4" t="s">
        <v>290</v>
      </c>
      <c r="D335" s="4" t="n">
        <v>9498.94</v>
      </c>
      <c r="E335" s="4" t="n">
        <v>0.1404</v>
      </c>
      <c r="F335" s="4" t="n">
        <v>8165.5</v>
      </c>
      <c r="G335" s="4" t="n">
        <v>6855</v>
      </c>
      <c r="H335" s="4" t="n">
        <v>1310.5</v>
      </c>
      <c r="I335" s="4" t="n">
        <v>0.1605</v>
      </c>
      <c r="J335" s="4" t="n">
        <v>0.974</v>
      </c>
      <c r="K335" s="4" t="n">
        <v>60</v>
      </c>
      <c r="L335" s="4" t="n">
        <v>90</v>
      </c>
      <c r="M335" s="4" t="n">
        <v>4</v>
      </c>
      <c r="N335" s="4" t="n">
        <v>0</v>
      </c>
    </row>
    <row r="336" customFormat="false" ht="15" hidden="false" customHeight="false" outlineLevel="0" collapsed="false">
      <c r="A336" s="4" t="s">
        <v>678</v>
      </c>
      <c r="B336" s="4" t="s">
        <v>124</v>
      </c>
      <c r="C336" s="4" t="s">
        <v>322</v>
      </c>
      <c r="D336" s="4" t="n">
        <v>248276.35</v>
      </c>
      <c r="E336" s="4" t="n">
        <v>0.0288</v>
      </c>
      <c r="F336" s="4" t="n">
        <v>241135.16</v>
      </c>
      <c r="G336" s="4" t="n">
        <v>194651.5</v>
      </c>
      <c r="H336" s="4" t="n">
        <v>46483.66</v>
      </c>
      <c r="I336" s="4" t="n">
        <v>0.1928</v>
      </c>
      <c r="J336" s="4" t="n">
        <v>0.948</v>
      </c>
      <c r="K336" s="4" t="n">
        <v>72</v>
      </c>
      <c r="L336" s="4" t="n">
        <v>90</v>
      </c>
      <c r="M336" s="4" t="n">
        <v>5</v>
      </c>
      <c r="N336" s="4" t="n">
        <v>0</v>
      </c>
    </row>
    <row r="337" customFormat="false" ht="15" hidden="false" customHeight="false" outlineLevel="0" collapsed="false">
      <c r="A337" s="4" t="s">
        <v>679</v>
      </c>
      <c r="B337" s="4" t="s">
        <v>116</v>
      </c>
      <c r="C337" s="4" t="s">
        <v>308</v>
      </c>
      <c r="D337" s="4" t="n">
        <v>13954.33</v>
      </c>
      <c r="E337" s="4" t="n">
        <v>0.1334</v>
      </c>
      <c r="F337" s="4" t="n">
        <v>12093.34</v>
      </c>
      <c r="G337" s="4" t="n">
        <v>12228.1</v>
      </c>
      <c r="H337" s="4" t="n">
        <v>-134.76</v>
      </c>
      <c r="I337" s="4" t="n">
        <v>-0.0111</v>
      </c>
      <c r="J337" s="4" t="n">
        <v>1.048</v>
      </c>
      <c r="K337" s="4" t="n">
        <v>45</v>
      </c>
      <c r="L337" s="4" t="n">
        <v>120</v>
      </c>
      <c r="M337" s="4" t="n">
        <v>17</v>
      </c>
      <c r="N337" s="4" t="n">
        <v>0</v>
      </c>
    </row>
    <row r="338" customFormat="false" ht="15" hidden="false" customHeight="false" outlineLevel="0" collapsed="false">
      <c r="A338" s="4" t="s">
        <v>680</v>
      </c>
      <c r="B338" s="4" t="s">
        <v>60</v>
      </c>
      <c r="C338" s="4" t="s">
        <v>296</v>
      </c>
      <c r="D338" s="4" t="n">
        <v>1031419.21</v>
      </c>
      <c r="E338" s="4" t="n">
        <v>0.0591</v>
      </c>
      <c r="F338" s="4" t="n">
        <v>970453.2</v>
      </c>
      <c r="G338" s="4" t="n">
        <v>633237.02</v>
      </c>
      <c r="H338" s="4" t="n">
        <v>337216.18</v>
      </c>
      <c r="I338" s="4" t="n">
        <v>0.3475</v>
      </c>
      <c r="J338" s="4" t="n">
        <v>0.988</v>
      </c>
      <c r="K338" s="4" t="n">
        <v>49</v>
      </c>
      <c r="L338" s="4" t="n">
        <v>90</v>
      </c>
      <c r="M338" s="4" t="n">
        <v>0</v>
      </c>
      <c r="N338" s="4" t="n">
        <v>0</v>
      </c>
    </row>
    <row r="339" customFormat="false" ht="15" hidden="false" customHeight="false" outlineLevel="0" collapsed="false">
      <c r="A339" s="4" t="s">
        <v>681</v>
      </c>
      <c r="B339" s="4" t="s">
        <v>156</v>
      </c>
      <c r="C339" s="4" t="s">
        <v>310</v>
      </c>
      <c r="D339" s="4" t="n">
        <v>34319.7</v>
      </c>
      <c r="E339" s="4" t="n">
        <v>0.0472</v>
      </c>
      <c r="F339" s="4" t="n">
        <v>32700.13</v>
      </c>
      <c r="G339" s="4" t="n">
        <v>24332.14</v>
      </c>
      <c r="H339" s="4" t="n">
        <v>8367.99</v>
      </c>
      <c r="I339" s="4" t="n">
        <v>0.2559</v>
      </c>
      <c r="J339" s="4" t="n">
        <v>0.986</v>
      </c>
      <c r="K339" s="4" t="n">
        <v>61</v>
      </c>
      <c r="L339" s="4" t="n">
        <v>45</v>
      </c>
      <c r="M339" s="4" t="n">
        <v>0</v>
      </c>
      <c r="N339" s="4" t="n">
        <v>1</v>
      </c>
    </row>
    <row r="340" customFormat="false" ht="15" hidden="false" customHeight="false" outlineLevel="0" collapsed="false">
      <c r="A340" s="4" t="s">
        <v>682</v>
      </c>
      <c r="B340" s="4" t="s">
        <v>71</v>
      </c>
      <c r="C340" s="4" t="s">
        <v>312</v>
      </c>
      <c r="D340" s="4" t="n">
        <v>626444.32</v>
      </c>
      <c r="E340" s="4" t="n">
        <v>0.0853</v>
      </c>
      <c r="F340" s="4" t="n">
        <v>573017.07</v>
      </c>
      <c r="G340" s="4" t="n">
        <v>413537.12</v>
      </c>
      <c r="H340" s="4" t="n">
        <v>159479.95</v>
      </c>
      <c r="I340" s="4" t="n">
        <v>0.2783</v>
      </c>
      <c r="J340" s="4" t="n">
        <v>1.069</v>
      </c>
      <c r="K340" s="4" t="n">
        <v>74</v>
      </c>
      <c r="L340" s="4" t="n">
        <v>60</v>
      </c>
      <c r="M340" s="4" t="n">
        <v>1</v>
      </c>
      <c r="N340" s="4" t="n">
        <v>0</v>
      </c>
    </row>
    <row r="341" customFormat="false" ht="15" hidden="false" customHeight="false" outlineLevel="0" collapsed="false">
      <c r="A341" s="4" t="s">
        <v>683</v>
      </c>
      <c r="B341" s="4" t="s">
        <v>140</v>
      </c>
      <c r="C341" s="4" t="s">
        <v>268</v>
      </c>
      <c r="D341" s="4" t="n">
        <v>415915.03</v>
      </c>
      <c r="E341" s="4" t="n">
        <v>0.0219</v>
      </c>
      <c r="F341" s="4" t="n">
        <v>406808.04</v>
      </c>
      <c r="G341" s="4" t="n">
        <v>331017.33</v>
      </c>
      <c r="H341" s="4" t="n">
        <v>75790.71</v>
      </c>
      <c r="I341" s="4" t="n">
        <v>0.1863</v>
      </c>
      <c r="J341" s="4" t="n">
        <v>0.95</v>
      </c>
      <c r="K341" s="4" t="n">
        <v>53</v>
      </c>
      <c r="L341" s="4" t="n">
        <v>30</v>
      </c>
      <c r="M341" s="4" t="n">
        <v>0</v>
      </c>
      <c r="N341" s="4" t="n">
        <v>1</v>
      </c>
    </row>
    <row r="342" customFormat="false" ht="15" hidden="false" customHeight="false" outlineLevel="0" collapsed="false">
      <c r="A342" s="4" t="s">
        <v>684</v>
      </c>
      <c r="B342" s="4" t="s">
        <v>86</v>
      </c>
      <c r="C342" s="4" t="s">
        <v>310</v>
      </c>
      <c r="D342" s="4" t="n">
        <v>17159.85</v>
      </c>
      <c r="E342" s="4" t="n">
        <v>0.09</v>
      </c>
      <c r="F342" s="4" t="n">
        <v>15615.12</v>
      </c>
      <c r="G342" s="4" t="n">
        <v>12166.07</v>
      </c>
      <c r="H342" s="4" t="n">
        <v>3449.05</v>
      </c>
      <c r="I342" s="4" t="n">
        <v>0.2209</v>
      </c>
      <c r="J342" s="4" t="n">
        <v>0.987</v>
      </c>
      <c r="K342" s="4" t="n">
        <v>56</v>
      </c>
      <c r="L342" s="4" t="n">
        <v>45</v>
      </c>
      <c r="M342" s="4" t="n">
        <v>0</v>
      </c>
      <c r="N342" s="4" t="n">
        <v>0</v>
      </c>
    </row>
    <row r="343" customFormat="false" ht="15" hidden="false" customHeight="false" outlineLevel="0" collapsed="false">
      <c r="A343" s="4" t="s">
        <v>685</v>
      </c>
      <c r="B343" s="4" t="s">
        <v>102</v>
      </c>
      <c r="C343" s="4" t="s">
        <v>290</v>
      </c>
      <c r="D343" s="4" t="n">
        <v>23747.35</v>
      </c>
      <c r="E343" s="4" t="n">
        <v>0.062</v>
      </c>
      <c r="F343" s="4" t="n">
        <v>22276.1</v>
      </c>
      <c r="G343" s="4" t="n">
        <v>17137.5</v>
      </c>
      <c r="H343" s="4" t="n">
        <v>5138.6</v>
      </c>
      <c r="I343" s="4" t="n">
        <v>0.2307</v>
      </c>
      <c r="J343" s="4" t="n">
        <v>0.968</v>
      </c>
      <c r="K343" s="4" t="n">
        <v>49</v>
      </c>
      <c r="L343" s="4" t="n">
        <v>60</v>
      </c>
      <c r="M343" s="4" t="n">
        <v>9</v>
      </c>
      <c r="N343" s="4" t="n">
        <v>0</v>
      </c>
    </row>
    <row r="344" customFormat="false" ht="15" hidden="false" customHeight="false" outlineLevel="0" collapsed="false">
      <c r="A344" s="4" t="s">
        <v>686</v>
      </c>
      <c r="B344" s="4" t="s">
        <v>188</v>
      </c>
      <c r="C344" s="4" t="s">
        <v>324</v>
      </c>
      <c r="D344" s="4" t="n">
        <v>36103.31</v>
      </c>
      <c r="E344" s="4" t="n">
        <v>0.097</v>
      </c>
      <c r="F344" s="4" t="n">
        <v>32600.85</v>
      </c>
      <c r="G344" s="4" t="n">
        <v>26532.34</v>
      </c>
      <c r="H344" s="4" t="n">
        <v>6068.51</v>
      </c>
      <c r="I344" s="4" t="n">
        <v>0.1861</v>
      </c>
      <c r="J344" s="4" t="n">
        <v>0.935</v>
      </c>
      <c r="K344" s="4" t="n">
        <v>25</v>
      </c>
      <c r="L344" s="4" t="n">
        <v>120</v>
      </c>
      <c r="M344" s="4" t="n">
        <v>9</v>
      </c>
      <c r="N344" s="4" t="n">
        <v>1</v>
      </c>
    </row>
    <row r="345" customFormat="false" ht="15" hidden="false" customHeight="false" outlineLevel="0" collapsed="false">
      <c r="A345" s="4" t="s">
        <v>687</v>
      </c>
      <c r="B345" s="4" t="s">
        <v>198</v>
      </c>
      <c r="C345" s="4" t="s">
        <v>326</v>
      </c>
      <c r="D345" s="4" t="n">
        <v>84862.32</v>
      </c>
      <c r="E345" s="4" t="n">
        <v>0.0447</v>
      </c>
      <c r="F345" s="4" t="n">
        <v>81066.24</v>
      </c>
      <c r="G345" s="4" t="n">
        <v>54725.48</v>
      </c>
      <c r="H345" s="4" t="n">
        <v>26340.76</v>
      </c>
      <c r="I345" s="4" t="n">
        <v>0.3249</v>
      </c>
      <c r="J345" s="4" t="n">
        <v>0.905</v>
      </c>
      <c r="K345" s="4" t="n">
        <v>71</v>
      </c>
      <c r="L345" s="4" t="n">
        <v>60</v>
      </c>
      <c r="M345" s="4" t="n">
        <v>7</v>
      </c>
      <c r="N345" s="4" t="n">
        <v>0</v>
      </c>
    </row>
    <row r="346" customFormat="false" ht="15" hidden="false" customHeight="false" outlineLevel="0" collapsed="false">
      <c r="A346" s="4" t="s">
        <v>688</v>
      </c>
      <c r="B346" s="4" t="s">
        <v>234</v>
      </c>
      <c r="C346" s="4" t="s">
        <v>287</v>
      </c>
      <c r="D346" s="4" t="n">
        <v>102995.8</v>
      </c>
      <c r="E346" s="4" t="n">
        <v>0.1082</v>
      </c>
      <c r="F346" s="4" t="n">
        <v>91846.81</v>
      </c>
      <c r="G346" s="4" t="n">
        <v>91414.2</v>
      </c>
      <c r="H346" s="4" t="n">
        <v>432.61</v>
      </c>
      <c r="I346" s="4" t="n">
        <v>0.0047</v>
      </c>
      <c r="J346" s="4" t="n">
        <v>1.014</v>
      </c>
      <c r="K346" s="4" t="n">
        <v>44</v>
      </c>
      <c r="L346" s="4" t="n">
        <v>30</v>
      </c>
      <c r="M346" s="4" t="n">
        <v>4</v>
      </c>
      <c r="N346" s="4" t="n">
        <v>0</v>
      </c>
    </row>
    <row r="347" customFormat="false" ht="15" hidden="false" customHeight="false" outlineLevel="0" collapsed="false">
      <c r="A347" s="4" t="s">
        <v>689</v>
      </c>
      <c r="B347" s="4" t="s">
        <v>156</v>
      </c>
      <c r="C347" s="4" t="s">
        <v>322</v>
      </c>
      <c r="D347" s="4" t="n">
        <v>49655.27</v>
      </c>
      <c r="E347" s="4" t="n">
        <v>0.1393</v>
      </c>
      <c r="F347" s="4" t="n">
        <v>42737.12</v>
      </c>
      <c r="G347" s="4" t="n">
        <v>38930.3</v>
      </c>
      <c r="H347" s="4" t="n">
        <v>3806.82</v>
      </c>
      <c r="I347" s="4" t="n">
        <v>0.0891</v>
      </c>
      <c r="J347" s="4" t="n">
        <v>1.118</v>
      </c>
      <c r="K347" s="4" t="n">
        <v>60</v>
      </c>
      <c r="L347" s="4" t="n">
        <v>30</v>
      </c>
      <c r="M347" s="4" t="n">
        <v>5</v>
      </c>
      <c r="N347" s="4" t="n">
        <v>1</v>
      </c>
    </row>
    <row r="348" customFormat="false" ht="15" hidden="false" customHeight="false" outlineLevel="0" collapsed="false">
      <c r="A348" s="4" t="s">
        <v>690</v>
      </c>
      <c r="B348" s="4" t="s">
        <v>202</v>
      </c>
      <c r="C348" s="4" t="s">
        <v>281</v>
      </c>
      <c r="D348" s="4" t="n">
        <v>79513.32</v>
      </c>
      <c r="E348" s="4" t="n">
        <v>0.0706</v>
      </c>
      <c r="F348" s="4" t="n">
        <v>73902.69</v>
      </c>
      <c r="G348" s="4" t="n">
        <v>63310.48</v>
      </c>
      <c r="H348" s="4" t="n">
        <v>10592.21</v>
      </c>
      <c r="I348" s="4" t="n">
        <v>0.1433</v>
      </c>
      <c r="J348" s="4" t="n">
        <v>1.09</v>
      </c>
      <c r="K348" s="4" t="n">
        <v>79</v>
      </c>
      <c r="L348" s="4" t="n">
        <v>60</v>
      </c>
      <c r="M348" s="4" t="n">
        <v>1</v>
      </c>
      <c r="N348" s="4" t="n">
        <v>0</v>
      </c>
    </row>
    <row r="349" customFormat="false" ht="15" hidden="false" customHeight="false" outlineLevel="0" collapsed="false">
      <c r="A349" s="4" t="s">
        <v>691</v>
      </c>
      <c r="B349" s="4" t="s">
        <v>192</v>
      </c>
      <c r="C349" s="4" t="s">
        <v>292</v>
      </c>
      <c r="D349" s="4" t="n">
        <v>100318.18</v>
      </c>
      <c r="E349" s="4" t="n">
        <v>0.045</v>
      </c>
      <c r="F349" s="4" t="n">
        <v>95803.79</v>
      </c>
      <c r="G349" s="4" t="n">
        <v>74121.68</v>
      </c>
      <c r="H349" s="4" t="n">
        <v>21682.11</v>
      </c>
      <c r="I349" s="4" t="n">
        <v>0.2263</v>
      </c>
      <c r="J349" s="4" t="n">
        <v>1.029</v>
      </c>
      <c r="K349" s="4" t="n">
        <v>74</v>
      </c>
      <c r="L349" s="4" t="n">
        <v>30</v>
      </c>
      <c r="M349" s="4" t="n">
        <v>9</v>
      </c>
      <c r="N349" s="4" t="n">
        <v>1</v>
      </c>
    </row>
    <row r="350" customFormat="false" ht="15" hidden="false" customHeight="false" outlineLevel="0" collapsed="false">
      <c r="A350" s="4" t="s">
        <v>692</v>
      </c>
      <c r="B350" s="4" t="s">
        <v>218</v>
      </c>
      <c r="C350" s="4" t="s">
        <v>281</v>
      </c>
      <c r="D350" s="4" t="n">
        <v>59634.99</v>
      </c>
      <c r="E350" s="4" t="n">
        <v>0.1369</v>
      </c>
      <c r="F350" s="4" t="n">
        <v>51473.41</v>
      </c>
      <c r="G350" s="4" t="n">
        <v>47482.86</v>
      </c>
      <c r="H350" s="4" t="n">
        <v>3990.55</v>
      </c>
      <c r="I350" s="4" t="n">
        <v>0.0775</v>
      </c>
      <c r="J350" s="4" t="n">
        <v>0.939</v>
      </c>
      <c r="K350" s="4" t="n">
        <v>66</v>
      </c>
      <c r="L350" s="4" t="n">
        <v>30</v>
      </c>
      <c r="M350" s="4" t="n">
        <v>0</v>
      </c>
      <c r="N350" s="4" t="n">
        <v>1</v>
      </c>
    </row>
    <row r="351" customFormat="false" ht="15" hidden="false" customHeight="false" outlineLevel="0" collapsed="false">
      <c r="A351" s="4" t="s">
        <v>693</v>
      </c>
      <c r="B351" s="4" t="s">
        <v>228</v>
      </c>
      <c r="C351" s="4" t="s">
        <v>300</v>
      </c>
      <c r="D351" s="4" t="n">
        <v>97510.6</v>
      </c>
      <c r="E351" s="4" t="n">
        <v>0.0901</v>
      </c>
      <c r="F351" s="4" t="n">
        <v>88726.56</v>
      </c>
      <c r="G351" s="4" t="n">
        <v>80650.96</v>
      </c>
      <c r="H351" s="4" t="n">
        <v>8075.6</v>
      </c>
      <c r="I351" s="4" t="n">
        <v>0.091</v>
      </c>
      <c r="J351" s="4" t="n">
        <v>0.919</v>
      </c>
      <c r="K351" s="4" t="n">
        <v>66</v>
      </c>
      <c r="L351" s="4" t="n">
        <v>45</v>
      </c>
      <c r="M351" s="4" t="n">
        <v>23</v>
      </c>
      <c r="N351" s="4" t="n">
        <v>0</v>
      </c>
    </row>
    <row r="352" customFormat="false" ht="15" hidden="false" customHeight="false" outlineLevel="0" collapsed="false">
      <c r="A352" s="4" t="s">
        <v>694</v>
      </c>
      <c r="B352" s="4" t="s">
        <v>180</v>
      </c>
      <c r="C352" s="4" t="s">
        <v>318</v>
      </c>
      <c r="D352" s="4" t="n">
        <v>3395086.9</v>
      </c>
      <c r="E352" s="4" t="n">
        <v>0</v>
      </c>
      <c r="F352" s="4" t="n">
        <v>3395086.9</v>
      </c>
      <c r="G352" s="4" t="n">
        <v>2686601.6</v>
      </c>
      <c r="H352" s="4" t="n">
        <v>708485.3</v>
      </c>
      <c r="I352" s="4" t="n">
        <v>0.2087</v>
      </c>
      <c r="J352" s="4" t="n">
        <v>1.008</v>
      </c>
      <c r="K352" s="4" t="n">
        <v>99</v>
      </c>
      <c r="L352" s="4" t="n">
        <v>30</v>
      </c>
      <c r="M352" s="4" t="n">
        <v>0</v>
      </c>
      <c r="N352" s="4" t="n">
        <v>1</v>
      </c>
    </row>
    <row r="353" customFormat="false" ht="15" hidden="false" customHeight="false" outlineLevel="0" collapsed="false">
      <c r="A353" s="4" t="s">
        <v>695</v>
      </c>
      <c r="B353" s="4" t="s">
        <v>218</v>
      </c>
      <c r="C353" s="4" t="s">
        <v>330</v>
      </c>
      <c r="D353" s="4" t="n">
        <v>10752.24</v>
      </c>
      <c r="E353" s="4" t="n">
        <v>0.1048</v>
      </c>
      <c r="F353" s="4" t="n">
        <v>9625.37</v>
      </c>
      <c r="G353" s="4" t="n">
        <v>7842.41</v>
      </c>
      <c r="H353" s="4" t="n">
        <v>1782.96</v>
      </c>
      <c r="I353" s="4" t="n">
        <v>0.1852</v>
      </c>
      <c r="J353" s="4" t="n">
        <v>0.933</v>
      </c>
      <c r="K353" s="4" t="n">
        <v>46</v>
      </c>
      <c r="L353" s="4" t="n">
        <v>30</v>
      </c>
      <c r="M353" s="4" t="n">
        <v>3</v>
      </c>
      <c r="N353" s="4" t="n">
        <v>0</v>
      </c>
    </row>
    <row r="354" customFormat="false" ht="15" hidden="false" customHeight="false" outlineLevel="0" collapsed="false">
      <c r="A354" s="4" t="s">
        <v>696</v>
      </c>
      <c r="B354" s="4" t="s">
        <v>188</v>
      </c>
      <c r="C354" s="4" t="s">
        <v>271</v>
      </c>
      <c r="D354" s="4" t="n">
        <v>3435820.15</v>
      </c>
      <c r="E354" s="4" t="n">
        <v>0.0314</v>
      </c>
      <c r="F354" s="4" t="n">
        <v>3327874.37</v>
      </c>
      <c r="G354" s="4" t="n">
        <v>2647513.8</v>
      </c>
      <c r="H354" s="4" t="n">
        <v>680360.57</v>
      </c>
      <c r="I354" s="4" t="n">
        <v>0.2044</v>
      </c>
      <c r="J354" s="4" t="n">
        <v>0.894</v>
      </c>
      <c r="K354" s="4" t="n">
        <v>70</v>
      </c>
      <c r="L354" s="4" t="n">
        <v>120</v>
      </c>
      <c r="M354" s="4" t="n">
        <v>3</v>
      </c>
      <c r="N354" s="4" t="n">
        <v>1</v>
      </c>
    </row>
    <row r="355" customFormat="false" ht="15" hidden="false" customHeight="false" outlineLevel="0" collapsed="false">
      <c r="A355" s="4" t="s">
        <v>697</v>
      </c>
      <c r="B355" s="4" t="s">
        <v>53</v>
      </c>
      <c r="C355" s="4" t="s">
        <v>302</v>
      </c>
      <c r="D355" s="4" t="n">
        <v>85640.4</v>
      </c>
      <c r="E355" s="4" t="n">
        <v>0.0543</v>
      </c>
      <c r="F355" s="4" t="n">
        <v>80991.25</v>
      </c>
      <c r="G355" s="4" t="n">
        <v>67463.55</v>
      </c>
      <c r="H355" s="4" t="n">
        <v>13527.7</v>
      </c>
      <c r="I355" s="4" t="n">
        <v>0.167</v>
      </c>
      <c r="J355" s="4" t="n">
        <v>0.992</v>
      </c>
      <c r="K355" s="4" t="n">
        <v>70</v>
      </c>
      <c r="L355" s="4" t="n">
        <v>90</v>
      </c>
      <c r="M355" s="4" t="n">
        <v>8</v>
      </c>
      <c r="N355" s="4" t="n">
        <v>0</v>
      </c>
    </row>
    <row r="356" customFormat="false" ht="15" hidden="false" customHeight="false" outlineLevel="0" collapsed="false">
      <c r="A356" s="4" t="s">
        <v>698</v>
      </c>
      <c r="B356" s="4" t="s">
        <v>154</v>
      </c>
      <c r="C356" s="4" t="s">
        <v>330</v>
      </c>
      <c r="D356" s="4" t="n">
        <v>32256.72</v>
      </c>
      <c r="E356" s="4" t="n">
        <v>0.0382</v>
      </c>
      <c r="F356" s="4" t="n">
        <v>31024.83</v>
      </c>
      <c r="G356" s="4" t="n">
        <v>23527.23</v>
      </c>
      <c r="H356" s="4" t="n">
        <v>7497.6</v>
      </c>
      <c r="I356" s="4" t="n">
        <v>0.2417</v>
      </c>
      <c r="J356" s="4" t="n">
        <v>0.914</v>
      </c>
      <c r="K356" s="4" t="n">
        <v>39</v>
      </c>
      <c r="L356" s="4" t="n">
        <v>30</v>
      </c>
      <c r="M356" s="4" t="n">
        <v>2</v>
      </c>
      <c r="N356" s="4" t="n">
        <v>0</v>
      </c>
    </row>
    <row r="357" customFormat="false" ht="15" hidden="false" customHeight="false" outlineLevel="0" collapsed="false">
      <c r="A357" s="4" t="s">
        <v>699</v>
      </c>
      <c r="B357" s="4" t="s">
        <v>148</v>
      </c>
      <c r="C357" s="4" t="s">
        <v>324</v>
      </c>
      <c r="D357" s="4" t="n">
        <v>72206.62</v>
      </c>
      <c r="E357" s="4" t="n">
        <v>0.1147</v>
      </c>
      <c r="F357" s="4" t="n">
        <v>63922.69</v>
      </c>
      <c r="G357" s="4" t="n">
        <v>53064.68</v>
      </c>
      <c r="H357" s="4" t="n">
        <v>10858.01</v>
      </c>
      <c r="I357" s="4" t="n">
        <v>0.1699</v>
      </c>
      <c r="J357" s="4" t="n">
        <v>1.006</v>
      </c>
      <c r="K357" s="4" t="n">
        <v>21</v>
      </c>
      <c r="L357" s="4" t="n">
        <v>60</v>
      </c>
      <c r="M357" s="4" t="n">
        <v>2</v>
      </c>
      <c r="N357" s="4" t="n">
        <v>0</v>
      </c>
    </row>
    <row r="358" customFormat="false" ht="15" hidden="false" customHeight="false" outlineLevel="0" collapsed="false">
      <c r="A358" s="4" t="s">
        <v>700</v>
      </c>
      <c r="B358" s="4" t="s">
        <v>240</v>
      </c>
      <c r="C358" s="4" t="s">
        <v>276</v>
      </c>
      <c r="D358" s="4" t="n">
        <v>243140</v>
      </c>
      <c r="E358" s="4" t="n">
        <v>0.0376</v>
      </c>
      <c r="F358" s="4" t="n">
        <v>233992.75</v>
      </c>
      <c r="G358" s="4" t="n">
        <v>161421.65</v>
      </c>
      <c r="H358" s="4" t="n">
        <v>72571.1</v>
      </c>
      <c r="I358" s="4" t="n">
        <v>0.3101</v>
      </c>
      <c r="J358" s="4" t="n">
        <v>1.17</v>
      </c>
      <c r="K358" s="4" t="n">
        <v>80</v>
      </c>
      <c r="L358" s="4" t="n">
        <v>30</v>
      </c>
      <c r="M358" s="4" t="n">
        <v>3</v>
      </c>
      <c r="N358" s="4" t="n">
        <v>1</v>
      </c>
    </row>
    <row r="359" customFormat="false" ht="15" hidden="false" customHeight="false" outlineLevel="0" collapsed="false">
      <c r="A359" s="4" t="s">
        <v>701</v>
      </c>
      <c r="B359" s="4" t="s">
        <v>234</v>
      </c>
      <c r="C359" s="4" t="s">
        <v>316</v>
      </c>
      <c r="D359" s="4" t="n">
        <v>1075350.3</v>
      </c>
      <c r="E359" s="4" t="n">
        <v>0.0378</v>
      </c>
      <c r="F359" s="4" t="n">
        <v>1034655.42</v>
      </c>
      <c r="G359" s="4" t="n">
        <v>684683.34</v>
      </c>
      <c r="H359" s="4" t="n">
        <v>349972.08</v>
      </c>
      <c r="I359" s="4" t="n">
        <v>0.3382</v>
      </c>
      <c r="J359" s="4" t="n">
        <v>1.023</v>
      </c>
      <c r="K359" s="4" t="n">
        <v>27</v>
      </c>
      <c r="L359" s="4" t="n">
        <v>60</v>
      </c>
      <c r="M359" s="4" t="n">
        <v>6</v>
      </c>
      <c r="N359" s="4" t="n">
        <v>0</v>
      </c>
    </row>
    <row r="360" customFormat="false" ht="15" hidden="false" customHeight="false" outlineLevel="0" collapsed="false">
      <c r="A360" s="4" t="s">
        <v>702</v>
      </c>
      <c r="B360" s="4" t="s">
        <v>218</v>
      </c>
      <c r="C360" s="4" t="s">
        <v>300</v>
      </c>
      <c r="D360" s="4" t="n">
        <v>48755.3</v>
      </c>
      <c r="E360" s="4" t="n">
        <v>0.192</v>
      </c>
      <c r="F360" s="4" t="n">
        <v>39394.09</v>
      </c>
      <c r="G360" s="4" t="n">
        <v>40325.48</v>
      </c>
      <c r="H360" s="4" t="n">
        <v>-931.39</v>
      </c>
      <c r="I360" s="4" t="n">
        <v>-0.0236</v>
      </c>
      <c r="J360" s="4" t="n">
        <v>1.111</v>
      </c>
      <c r="K360" s="4" t="n">
        <v>54</v>
      </c>
      <c r="L360" s="4" t="n">
        <v>30</v>
      </c>
      <c r="M360" s="4" t="n">
        <v>8</v>
      </c>
      <c r="N360" s="4" t="n">
        <v>1</v>
      </c>
    </row>
    <row r="361" customFormat="false" ht="15" hidden="false" customHeight="false" outlineLevel="0" collapsed="false">
      <c r="A361" s="4" t="s">
        <v>703</v>
      </c>
      <c r="B361" s="4" t="s">
        <v>196</v>
      </c>
      <c r="C361" s="4" t="s">
        <v>318</v>
      </c>
      <c r="D361" s="4" t="n">
        <v>3395086.9</v>
      </c>
      <c r="E361" s="4" t="n">
        <v>0.0832</v>
      </c>
      <c r="F361" s="4" t="n">
        <v>3112585.5</v>
      </c>
      <c r="G361" s="4" t="n">
        <v>2686601.6</v>
      </c>
      <c r="H361" s="4" t="n">
        <v>425983.9</v>
      </c>
      <c r="I361" s="4" t="n">
        <v>0.1369</v>
      </c>
      <c r="J361" s="4" t="n">
        <v>1.024</v>
      </c>
      <c r="K361" s="4" t="n">
        <v>71</v>
      </c>
      <c r="L361" s="4" t="n">
        <v>30</v>
      </c>
      <c r="M361" s="4" t="n">
        <v>1</v>
      </c>
      <c r="N361" s="4" t="n">
        <v>0</v>
      </c>
    </row>
    <row r="362" customFormat="false" ht="15" hidden="false" customHeight="false" outlineLevel="0" collapsed="false">
      <c r="A362" s="4" t="s">
        <v>704</v>
      </c>
      <c r="B362" s="4" t="s">
        <v>142</v>
      </c>
      <c r="C362" s="4" t="s">
        <v>328</v>
      </c>
      <c r="D362" s="4" t="n">
        <v>118974.7</v>
      </c>
      <c r="E362" s="4" t="n">
        <v>0.1405</v>
      </c>
      <c r="F362" s="4" t="n">
        <v>102264.05</v>
      </c>
      <c r="G362" s="4" t="n">
        <v>77917.75</v>
      </c>
      <c r="H362" s="4" t="n">
        <v>24346.3</v>
      </c>
      <c r="I362" s="4" t="n">
        <v>0.2381</v>
      </c>
      <c r="J362" s="4" t="n">
        <v>0.969</v>
      </c>
      <c r="K362" s="4" t="n">
        <v>82</v>
      </c>
      <c r="L362" s="4" t="n">
        <v>60</v>
      </c>
      <c r="M362" s="4" t="n">
        <v>19</v>
      </c>
      <c r="N362" s="4" t="n">
        <v>1</v>
      </c>
    </row>
    <row r="363" customFormat="false" ht="15" hidden="false" customHeight="false" outlineLevel="0" collapsed="false">
      <c r="A363" s="4" t="s">
        <v>705</v>
      </c>
      <c r="B363" s="4" t="s">
        <v>210</v>
      </c>
      <c r="C363" s="4" t="s">
        <v>320</v>
      </c>
      <c r="D363" s="4" t="n">
        <v>80841.74</v>
      </c>
      <c r="E363" s="4" t="n">
        <v>0.0994</v>
      </c>
      <c r="F363" s="4" t="n">
        <v>72802.85</v>
      </c>
      <c r="G363" s="4" t="n">
        <v>57264.74</v>
      </c>
      <c r="H363" s="4" t="n">
        <v>15538.11</v>
      </c>
      <c r="I363" s="4" t="n">
        <v>0.2134</v>
      </c>
      <c r="J363" s="4" t="n">
        <v>1.032</v>
      </c>
      <c r="K363" s="4" t="n">
        <v>99</v>
      </c>
      <c r="L363" s="4" t="n">
        <v>90</v>
      </c>
      <c r="M363" s="4" t="n">
        <v>6</v>
      </c>
      <c r="N363" s="4" t="n">
        <v>1</v>
      </c>
    </row>
    <row r="364" customFormat="false" ht="15" hidden="false" customHeight="false" outlineLevel="0" collapsed="false">
      <c r="A364" s="4" t="s">
        <v>706</v>
      </c>
      <c r="B364" s="4" t="s">
        <v>182</v>
      </c>
      <c r="C364" s="4" t="s">
        <v>328</v>
      </c>
      <c r="D364" s="4" t="n">
        <v>47589.88</v>
      </c>
      <c r="E364" s="4" t="n">
        <v>0.1459</v>
      </c>
      <c r="F364" s="4" t="n">
        <v>40647.09</v>
      </c>
      <c r="G364" s="4" t="n">
        <v>31167.1</v>
      </c>
      <c r="H364" s="4" t="n">
        <v>9479.99</v>
      </c>
      <c r="I364" s="4" t="n">
        <v>0.2332</v>
      </c>
      <c r="J364" s="4" t="n">
        <v>1.098</v>
      </c>
      <c r="K364" s="4" t="n">
        <v>71</v>
      </c>
      <c r="L364" s="4" t="n">
        <v>30</v>
      </c>
      <c r="M364" s="4" t="n">
        <v>4</v>
      </c>
      <c r="N364" s="4" t="n">
        <v>1</v>
      </c>
    </row>
    <row r="365" customFormat="false" ht="15" hidden="false" customHeight="false" outlineLevel="0" collapsed="false">
      <c r="A365" s="4" t="s">
        <v>707</v>
      </c>
      <c r="B365" s="4" t="s">
        <v>63</v>
      </c>
      <c r="C365" s="4" t="s">
        <v>306</v>
      </c>
      <c r="D365" s="4" t="n">
        <v>468596.75</v>
      </c>
      <c r="E365" s="4" t="n">
        <v>0.0501</v>
      </c>
      <c r="F365" s="4" t="n">
        <v>445140.32</v>
      </c>
      <c r="G365" s="4" t="n">
        <v>325529.9</v>
      </c>
      <c r="H365" s="4" t="n">
        <v>119610.42</v>
      </c>
      <c r="I365" s="4" t="n">
        <v>0.2687</v>
      </c>
      <c r="J365" s="4" t="n">
        <v>0.932</v>
      </c>
      <c r="K365" s="4" t="n">
        <v>29</v>
      </c>
      <c r="L365" s="4" t="n">
        <v>120</v>
      </c>
      <c r="M365" s="4" t="n">
        <v>2</v>
      </c>
      <c r="N365" s="4" t="n">
        <v>0</v>
      </c>
    </row>
    <row r="366" customFormat="false" ht="15" hidden="false" customHeight="false" outlineLevel="0" collapsed="false">
      <c r="A366" s="4" t="s">
        <v>708</v>
      </c>
      <c r="B366" s="4" t="s">
        <v>198</v>
      </c>
      <c r="C366" s="4" t="s">
        <v>302</v>
      </c>
      <c r="D366" s="4" t="n">
        <v>51384.24</v>
      </c>
      <c r="E366" s="4" t="n">
        <v>0.0516</v>
      </c>
      <c r="F366" s="4" t="n">
        <v>48731.07</v>
      </c>
      <c r="G366" s="4" t="n">
        <v>40478.13</v>
      </c>
      <c r="H366" s="4" t="n">
        <v>8252.94</v>
      </c>
      <c r="I366" s="4" t="n">
        <v>0.1694</v>
      </c>
      <c r="J366" s="4" t="n">
        <v>1.117</v>
      </c>
      <c r="K366" s="4" t="n">
        <v>54</v>
      </c>
      <c r="L366" s="4" t="n">
        <v>30</v>
      </c>
      <c r="M366" s="4" t="n">
        <v>7</v>
      </c>
      <c r="N366" s="4" t="n">
        <v>0</v>
      </c>
    </row>
    <row r="367" customFormat="false" ht="15" hidden="false" customHeight="false" outlineLevel="0" collapsed="false">
      <c r="A367" s="4" t="s">
        <v>709</v>
      </c>
      <c r="B367" s="4" t="s">
        <v>220</v>
      </c>
      <c r="C367" s="4" t="s">
        <v>322</v>
      </c>
      <c r="D367" s="4" t="n">
        <v>248276.35</v>
      </c>
      <c r="E367" s="4" t="n">
        <v>0.1366</v>
      </c>
      <c r="F367" s="4" t="n">
        <v>214373.31</v>
      </c>
      <c r="G367" s="4" t="n">
        <v>194651.5</v>
      </c>
      <c r="H367" s="4" t="n">
        <v>19721.81</v>
      </c>
      <c r="I367" s="4" t="n">
        <v>0.092</v>
      </c>
      <c r="J367" s="4" t="n">
        <v>0.861</v>
      </c>
      <c r="K367" s="4" t="n">
        <v>82</v>
      </c>
      <c r="L367" s="4" t="n">
        <v>30</v>
      </c>
      <c r="M367" s="4" t="n">
        <v>4</v>
      </c>
      <c r="N367" s="4" t="n">
        <v>0</v>
      </c>
    </row>
    <row r="368" customFormat="false" ht="15" hidden="false" customHeight="false" outlineLevel="0" collapsed="false">
      <c r="A368" s="4" t="s">
        <v>710</v>
      </c>
      <c r="B368" s="4" t="s">
        <v>232</v>
      </c>
      <c r="C368" s="4" t="s">
        <v>330</v>
      </c>
      <c r="D368" s="4" t="n">
        <v>53761.2</v>
      </c>
      <c r="E368" s="4" t="n">
        <v>0.0439</v>
      </c>
      <c r="F368" s="4" t="n">
        <v>51398.93</v>
      </c>
      <c r="G368" s="4" t="n">
        <v>39212.05</v>
      </c>
      <c r="H368" s="4" t="n">
        <v>12186.88</v>
      </c>
      <c r="I368" s="4" t="n">
        <v>0.2371</v>
      </c>
      <c r="J368" s="4" t="n">
        <v>1.069</v>
      </c>
      <c r="K368" s="4" t="n">
        <v>46</v>
      </c>
      <c r="L368" s="4" t="n">
        <v>30</v>
      </c>
      <c r="M368" s="4" t="n">
        <v>0</v>
      </c>
      <c r="N368" s="4" t="n">
        <v>1</v>
      </c>
    </row>
    <row r="369" customFormat="false" ht="15" hidden="false" customHeight="false" outlineLevel="0" collapsed="false">
      <c r="A369" s="4" t="s">
        <v>711</v>
      </c>
      <c r="B369" s="4" t="s">
        <v>202</v>
      </c>
      <c r="C369" s="4" t="s">
        <v>324</v>
      </c>
      <c r="D369" s="4" t="n">
        <v>36103.31</v>
      </c>
      <c r="E369" s="4" t="n">
        <v>0.0918</v>
      </c>
      <c r="F369" s="4" t="n">
        <v>32789.23</v>
      </c>
      <c r="G369" s="4" t="n">
        <v>26532.34</v>
      </c>
      <c r="H369" s="4" t="n">
        <v>6256.89</v>
      </c>
      <c r="I369" s="4" t="n">
        <v>0.1908</v>
      </c>
      <c r="J369" s="4" t="n">
        <v>0.898</v>
      </c>
      <c r="K369" s="4" t="n">
        <v>38</v>
      </c>
      <c r="L369" s="4" t="n">
        <v>30</v>
      </c>
      <c r="M369" s="4" t="n">
        <v>15</v>
      </c>
      <c r="N369" s="4" t="n">
        <v>1</v>
      </c>
    </row>
    <row r="370" customFormat="false" ht="15" hidden="false" customHeight="false" outlineLevel="0" collapsed="false">
      <c r="A370" s="4" t="s">
        <v>712</v>
      </c>
      <c r="B370" s="4" t="s">
        <v>198</v>
      </c>
      <c r="C370" s="4" t="s">
        <v>324</v>
      </c>
      <c r="D370" s="4" t="n">
        <v>72206.62</v>
      </c>
      <c r="E370" s="4" t="n">
        <v>0.071</v>
      </c>
      <c r="F370" s="4" t="n">
        <v>67078.14</v>
      </c>
      <c r="G370" s="4" t="n">
        <v>53064.68</v>
      </c>
      <c r="H370" s="4" t="n">
        <v>14013.46</v>
      </c>
      <c r="I370" s="4" t="n">
        <v>0.2089</v>
      </c>
      <c r="J370" s="4" t="n">
        <v>0.97</v>
      </c>
      <c r="K370" s="4" t="n">
        <v>40</v>
      </c>
      <c r="L370" s="4" t="n">
        <v>45</v>
      </c>
      <c r="M370" s="4" t="n">
        <v>0</v>
      </c>
      <c r="N370" s="4" t="n">
        <v>0</v>
      </c>
    </row>
    <row r="371" customFormat="false" ht="15" hidden="false" customHeight="false" outlineLevel="0" collapsed="false">
      <c r="A371" s="4" t="s">
        <v>713</v>
      </c>
      <c r="B371" s="4" t="s">
        <v>47</v>
      </c>
      <c r="C371" s="4" t="s">
        <v>302</v>
      </c>
      <c r="D371" s="4" t="n">
        <v>34256.16</v>
      </c>
      <c r="E371" s="4" t="n">
        <v>0.0325</v>
      </c>
      <c r="F371" s="4" t="n">
        <v>33143.42</v>
      </c>
      <c r="G371" s="4" t="n">
        <v>26985.42</v>
      </c>
      <c r="H371" s="4" t="n">
        <v>6158</v>
      </c>
      <c r="I371" s="4" t="n">
        <v>0.1858</v>
      </c>
      <c r="J371" s="4" t="n">
        <v>1.135</v>
      </c>
      <c r="K371" s="4" t="n">
        <v>35</v>
      </c>
      <c r="L371" s="4" t="n">
        <v>30</v>
      </c>
      <c r="M371" s="4" t="n">
        <v>0</v>
      </c>
      <c r="N371" s="4" t="n">
        <v>1</v>
      </c>
    </row>
    <row r="372" customFormat="false" ht="15" hidden="false" customHeight="false" outlineLevel="0" collapsed="false">
      <c r="A372" s="4" t="s">
        <v>714</v>
      </c>
      <c r="B372" s="4" t="s">
        <v>102</v>
      </c>
      <c r="C372" s="4" t="s">
        <v>310</v>
      </c>
      <c r="D372" s="4" t="n">
        <v>17159.85</v>
      </c>
      <c r="E372" s="4" t="n">
        <v>0.0427</v>
      </c>
      <c r="F372" s="4" t="n">
        <v>16426.87</v>
      </c>
      <c r="G372" s="4" t="n">
        <v>12166.07</v>
      </c>
      <c r="H372" s="4" t="n">
        <v>4260.8</v>
      </c>
      <c r="I372" s="4" t="n">
        <v>0.2594</v>
      </c>
      <c r="J372" s="4" t="n">
        <v>1.103</v>
      </c>
      <c r="K372" s="4" t="n">
        <v>61</v>
      </c>
      <c r="L372" s="4" t="n">
        <v>30</v>
      </c>
      <c r="M372" s="4" t="n">
        <v>3</v>
      </c>
      <c r="N372" s="4" t="n">
        <v>0</v>
      </c>
    </row>
    <row r="373" customFormat="false" ht="15" hidden="false" customHeight="false" outlineLevel="0" collapsed="false">
      <c r="A373" s="4" t="s">
        <v>715</v>
      </c>
      <c r="B373" s="4" t="s">
        <v>124</v>
      </c>
      <c r="C373" s="4" t="s">
        <v>318</v>
      </c>
      <c r="D373" s="4" t="n">
        <v>2716069.52</v>
      </c>
      <c r="E373" s="4" t="n">
        <v>0.0676</v>
      </c>
      <c r="F373" s="4" t="n">
        <v>2532489.28</v>
      </c>
      <c r="G373" s="4" t="n">
        <v>2149281.28</v>
      </c>
      <c r="H373" s="4" t="n">
        <v>383208</v>
      </c>
      <c r="I373" s="4" t="n">
        <v>0.1513</v>
      </c>
      <c r="J373" s="4" t="n">
        <v>0.965</v>
      </c>
      <c r="K373" s="4" t="n">
        <v>81</v>
      </c>
      <c r="L373" s="4" t="n">
        <v>60</v>
      </c>
      <c r="M373" s="4" t="n">
        <v>2</v>
      </c>
      <c r="N373" s="4" t="n">
        <v>1</v>
      </c>
    </row>
    <row r="374" customFormat="false" ht="15" hidden="false" customHeight="false" outlineLevel="0" collapsed="false">
      <c r="A374" s="4" t="s">
        <v>716</v>
      </c>
      <c r="B374" s="4" t="s">
        <v>128</v>
      </c>
      <c r="C374" s="4" t="s">
        <v>324</v>
      </c>
      <c r="D374" s="4" t="n">
        <v>144413.24</v>
      </c>
      <c r="E374" s="4" t="n">
        <v>0.2056</v>
      </c>
      <c r="F374" s="4" t="n">
        <v>114724.27</v>
      </c>
      <c r="G374" s="4" t="n">
        <v>106129.36</v>
      </c>
      <c r="H374" s="4" t="n">
        <v>8594.91</v>
      </c>
      <c r="I374" s="4" t="n">
        <v>0.0749</v>
      </c>
      <c r="J374" s="4" t="n">
        <v>1.027</v>
      </c>
      <c r="K374" s="4" t="n">
        <v>12</v>
      </c>
      <c r="L374" s="4" t="n">
        <v>30</v>
      </c>
      <c r="M374" s="4" t="n">
        <v>8</v>
      </c>
      <c r="N374" s="4" t="n">
        <v>0</v>
      </c>
    </row>
    <row r="375" customFormat="false" ht="15" hidden="false" customHeight="false" outlineLevel="0" collapsed="false">
      <c r="A375" s="4" t="s">
        <v>717</v>
      </c>
      <c r="B375" s="4" t="s">
        <v>86</v>
      </c>
      <c r="C375" s="4" t="s">
        <v>328</v>
      </c>
      <c r="D375" s="4" t="n">
        <v>71384.82</v>
      </c>
      <c r="E375" s="4" t="n">
        <v>0.1133</v>
      </c>
      <c r="F375" s="4" t="n">
        <v>63297.11</v>
      </c>
      <c r="G375" s="4" t="n">
        <v>46750.65</v>
      </c>
      <c r="H375" s="4" t="n">
        <v>16546.46</v>
      </c>
      <c r="I375" s="4" t="n">
        <v>0.2614</v>
      </c>
      <c r="J375" s="4" t="n">
        <v>0.998</v>
      </c>
      <c r="K375" s="4" t="n">
        <v>58</v>
      </c>
      <c r="L375" s="4" t="n">
        <v>30</v>
      </c>
      <c r="M375" s="4" t="n">
        <v>3</v>
      </c>
      <c r="N375" s="4" t="n">
        <v>0</v>
      </c>
    </row>
    <row r="376" customFormat="false" ht="15" hidden="false" customHeight="false" outlineLevel="0" collapsed="false">
      <c r="A376" s="4" t="s">
        <v>718</v>
      </c>
      <c r="B376" s="4" t="s">
        <v>100</v>
      </c>
      <c r="C376" s="4" t="s">
        <v>281</v>
      </c>
      <c r="D376" s="4" t="n">
        <v>39756.66</v>
      </c>
      <c r="E376" s="4" t="n">
        <v>0.097</v>
      </c>
      <c r="F376" s="4" t="n">
        <v>35899.98</v>
      </c>
      <c r="G376" s="4" t="n">
        <v>31655.24</v>
      </c>
      <c r="H376" s="4" t="n">
        <v>4244.74</v>
      </c>
      <c r="I376" s="4" t="n">
        <v>0.1182</v>
      </c>
      <c r="J376" s="4" t="n">
        <v>0.88</v>
      </c>
      <c r="K376" s="4" t="n">
        <v>62</v>
      </c>
      <c r="L376" s="4" t="n">
        <v>30</v>
      </c>
      <c r="M376" s="4" t="n">
        <v>3</v>
      </c>
      <c r="N376" s="4" t="n">
        <v>1</v>
      </c>
    </row>
    <row r="377" customFormat="false" ht="15" hidden="false" customHeight="false" outlineLevel="0" collapsed="false">
      <c r="A377" s="4" t="s">
        <v>719</v>
      </c>
      <c r="B377" s="4" t="s">
        <v>172</v>
      </c>
      <c r="C377" s="4" t="s">
        <v>320</v>
      </c>
      <c r="D377" s="4" t="n">
        <v>202104.35</v>
      </c>
      <c r="E377" s="4" t="n">
        <v>0.1159</v>
      </c>
      <c r="F377" s="4" t="n">
        <v>178676.32</v>
      </c>
      <c r="G377" s="4" t="n">
        <v>143161.85</v>
      </c>
      <c r="H377" s="4" t="n">
        <v>35514.47</v>
      </c>
      <c r="I377" s="4" t="n">
        <v>0.1988</v>
      </c>
      <c r="J377" s="4" t="n">
        <v>0.858</v>
      </c>
      <c r="K377" s="4" t="n">
        <v>96</v>
      </c>
      <c r="L377" s="4" t="n">
        <v>60</v>
      </c>
      <c r="M377" s="4" t="n">
        <v>9</v>
      </c>
      <c r="N377" s="4" t="n">
        <v>1</v>
      </c>
    </row>
    <row r="378" customFormat="false" ht="15" hidden="false" customHeight="false" outlineLevel="0" collapsed="false">
      <c r="A378" s="4" t="s">
        <v>720</v>
      </c>
      <c r="B378" s="4" t="s">
        <v>114</v>
      </c>
      <c r="C378" s="4" t="s">
        <v>287</v>
      </c>
      <c r="D378" s="4" t="n">
        <v>41198.32</v>
      </c>
      <c r="E378" s="4" t="n">
        <v>0.0996</v>
      </c>
      <c r="F378" s="4" t="n">
        <v>37095.81</v>
      </c>
      <c r="G378" s="4" t="n">
        <v>36565.68</v>
      </c>
      <c r="H378" s="4" t="n">
        <v>530.13</v>
      </c>
      <c r="I378" s="4" t="n">
        <v>0.0143</v>
      </c>
      <c r="J378" s="4" t="n">
        <v>0.962</v>
      </c>
      <c r="K378" s="4" t="n">
        <v>60</v>
      </c>
      <c r="L378" s="4" t="n">
        <v>120</v>
      </c>
      <c r="M378" s="4" t="n">
        <v>0</v>
      </c>
      <c r="N378" s="4" t="n">
        <v>0</v>
      </c>
    </row>
    <row r="379" customFormat="false" ht="15" hidden="false" customHeight="false" outlineLevel="0" collapsed="false">
      <c r="A379" s="4" t="s">
        <v>721</v>
      </c>
      <c r="B379" s="4" t="s">
        <v>114</v>
      </c>
      <c r="C379" s="4" t="s">
        <v>312</v>
      </c>
      <c r="D379" s="4" t="n">
        <v>313222.16</v>
      </c>
      <c r="E379" s="4" t="n">
        <v>0.0678</v>
      </c>
      <c r="F379" s="4" t="n">
        <v>291998.23</v>
      </c>
      <c r="G379" s="4" t="n">
        <v>206768.56</v>
      </c>
      <c r="H379" s="4" t="n">
        <v>85229.67</v>
      </c>
      <c r="I379" s="4" t="n">
        <v>0.2919</v>
      </c>
      <c r="J379" s="4" t="n">
        <v>0.955</v>
      </c>
      <c r="K379" s="4" t="n">
        <v>67</v>
      </c>
      <c r="L379" s="4" t="n">
        <v>90</v>
      </c>
      <c r="M379" s="4" t="n">
        <v>0</v>
      </c>
      <c r="N379" s="4" t="n">
        <v>0</v>
      </c>
    </row>
    <row r="380" customFormat="false" ht="15" hidden="false" customHeight="false" outlineLevel="0" collapsed="false">
      <c r="A380" s="4" t="s">
        <v>722</v>
      </c>
      <c r="B380" s="4" t="s">
        <v>232</v>
      </c>
      <c r="C380" s="4" t="s">
        <v>310</v>
      </c>
      <c r="D380" s="4" t="n">
        <v>34319.7</v>
      </c>
      <c r="E380" s="4" t="n">
        <v>0.0316</v>
      </c>
      <c r="F380" s="4" t="n">
        <v>33235.03</v>
      </c>
      <c r="G380" s="4" t="n">
        <v>24332.14</v>
      </c>
      <c r="H380" s="4" t="n">
        <v>8902.89</v>
      </c>
      <c r="I380" s="4" t="n">
        <v>0.2679</v>
      </c>
      <c r="J380" s="4" t="n">
        <v>1.007</v>
      </c>
      <c r="K380" s="4" t="n">
        <v>30</v>
      </c>
      <c r="L380" s="4" t="n">
        <v>30</v>
      </c>
      <c r="M380" s="4" t="n">
        <v>0</v>
      </c>
      <c r="N380" s="4" t="n">
        <v>1</v>
      </c>
    </row>
    <row r="381" customFormat="false" ht="15" hidden="false" customHeight="false" outlineLevel="0" collapsed="false">
      <c r="A381" s="4" t="s">
        <v>723</v>
      </c>
      <c r="B381" s="4" t="s">
        <v>158</v>
      </c>
      <c r="C381" s="4" t="s">
        <v>310</v>
      </c>
      <c r="D381" s="4" t="n">
        <v>51479.55</v>
      </c>
      <c r="E381" s="4" t="n">
        <v>0.0696</v>
      </c>
      <c r="F381" s="4" t="n">
        <v>47896.23</v>
      </c>
      <c r="G381" s="4" t="n">
        <v>36498.21</v>
      </c>
      <c r="H381" s="4" t="n">
        <v>11398.02</v>
      </c>
      <c r="I381" s="4" t="n">
        <v>0.238</v>
      </c>
      <c r="J381" s="4" t="n">
        <v>1.156</v>
      </c>
      <c r="K381" s="4" t="n">
        <v>67</v>
      </c>
      <c r="L381" s="4" t="n">
        <v>30</v>
      </c>
      <c r="M381" s="4" t="n">
        <v>3</v>
      </c>
      <c r="N381" s="4" t="n">
        <v>0</v>
      </c>
    </row>
    <row r="382" customFormat="false" ht="15" hidden="false" customHeight="false" outlineLevel="0" collapsed="false">
      <c r="A382" s="4" t="s">
        <v>724</v>
      </c>
      <c r="B382" s="4" t="s">
        <v>252</v>
      </c>
      <c r="C382" s="4" t="s">
        <v>330</v>
      </c>
      <c r="D382" s="4" t="n">
        <v>53761.2</v>
      </c>
      <c r="E382" s="4" t="n">
        <v>0.1294</v>
      </c>
      <c r="F382" s="4" t="n">
        <v>46803.67</v>
      </c>
      <c r="G382" s="4" t="n">
        <v>39212.05</v>
      </c>
      <c r="H382" s="4" t="n">
        <v>7591.62</v>
      </c>
      <c r="I382" s="4" t="n">
        <v>0.1622</v>
      </c>
      <c r="J382" s="4" t="n">
        <v>0.986</v>
      </c>
      <c r="K382" s="4" t="n">
        <v>57</v>
      </c>
      <c r="L382" s="4" t="n">
        <v>30</v>
      </c>
      <c r="M382" s="4" t="n">
        <v>0</v>
      </c>
      <c r="N382" s="4" t="n">
        <v>0</v>
      </c>
    </row>
    <row r="383" customFormat="false" ht="15" hidden="false" customHeight="false" outlineLevel="0" collapsed="false">
      <c r="A383" s="4" t="s">
        <v>725</v>
      </c>
      <c r="B383" s="4" t="s">
        <v>100</v>
      </c>
      <c r="C383" s="4" t="s">
        <v>294</v>
      </c>
      <c r="D383" s="4" t="n">
        <v>2770517.82</v>
      </c>
      <c r="E383" s="4" t="n">
        <v>0.1806</v>
      </c>
      <c r="F383" s="4" t="n">
        <v>2270230.28</v>
      </c>
      <c r="G383" s="4" t="n">
        <v>1971841.62</v>
      </c>
      <c r="H383" s="4" t="n">
        <v>298388.66</v>
      </c>
      <c r="I383" s="4" t="n">
        <v>0.1314</v>
      </c>
      <c r="J383" s="4" t="n">
        <v>1.07</v>
      </c>
      <c r="K383" s="4" t="n">
        <v>15</v>
      </c>
      <c r="L383" s="4" t="n">
        <v>45</v>
      </c>
      <c r="M383" s="4" t="n">
        <v>6</v>
      </c>
      <c r="N383" s="4" t="n">
        <v>0</v>
      </c>
    </row>
    <row r="384" customFormat="false" ht="15" hidden="false" customHeight="false" outlineLevel="0" collapsed="false">
      <c r="A384" s="4" t="s">
        <v>726</v>
      </c>
      <c r="B384" s="4" t="s">
        <v>196</v>
      </c>
      <c r="C384" s="4" t="s">
        <v>284</v>
      </c>
      <c r="D384" s="4" t="n">
        <v>88946.22</v>
      </c>
      <c r="E384" s="4" t="n">
        <v>0.0971</v>
      </c>
      <c r="F384" s="4" t="n">
        <v>80307.14</v>
      </c>
      <c r="G384" s="4" t="n">
        <v>63611.68</v>
      </c>
      <c r="H384" s="4" t="n">
        <v>16695.46</v>
      </c>
      <c r="I384" s="4" t="n">
        <v>0.2079</v>
      </c>
      <c r="J384" s="4" t="n">
        <v>1.038</v>
      </c>
      <c r="K384" s="4" t="n">
        <v>46</v>
      </c>
      <c r="L384" s="4" t="n">
        <v>30</v>
      </c>
      <c r="M384" s="4" t="n">
        <v>0</v>
      </c>
      <c r="N384" s="4" t="n">
        <v>1</v>
      </c>
    </row>
    <row r="385" customFormat="false" ht="15" hidden="false" customHeight="false" outlineLevel="0" collapsed="false">
      <c r="A385" s="4" t="s">
        <v>727</v>
      </c>
      <c r="B385" s="4" t="s">
        <v>226</v>
      </c>
      <c r="C385" s="4" t="s">
        <v>324</v>
      </c>
      <c r="D385" s="4" t="n">
        <v>180516.55</v>
      </c>
      <c r="E385" s="4" t="n">
        <v>0.0166</v>
      </c>
      <c r="F385" s="4" t="n">
        <v>177528.98</v>
      </c>
      <c r="G385" s="4" t="n">
        <v>132661.7</v>
      </c>
      <c r="H385" s="4" t="n">
        <v>44867.28</v>
      </c>
      <c r="I385" s="4" t="n">
        <v>0.2527</v>
      </c>
      <c r="J385" s="4" t="n">
        <v>1.128</v>
      </c>
      <c r="K385" s="4" t="n">
        <v>63</v>
      </c>
      <c r="L385" s="4" t="n">
        <v>45</v>
      </c>
      <c r="M385" s="4" t="n">
        <v>0</v>
      </c>
      <c r="N385" s="4" t="n">
        <v>0</v>
      </c>
    </row>
    <row r="386" customFormat="false" ht="15" hidden="false" customHeight="false" outlineLevel="0" collapsed="false">
      <c r="A386" s="4" t="s">
        <v>728</v>
      </c>
      <c r="B386" s="4" t="s">
        <v>96</v>
      </c>
      <c r="C386" s="4" t="s">
        <v>322</v>
      </c>
      <c r="D386" s="4" t="n">
        <v>49655.27</v>
      </c>
      <c r="E386" s="4" t="n">
        <v>0.0728</v>
      </c>
      <c r="F386" s="4" t="n">
        <v>46040.41</v>
      </c>
      <c r="G386" s="4" t="n">
        <v>38930.3</v>
      </c>
      <c r="H386" s="4" t="n">
        <v>7110.11</v>
      </c>
      <c r="I386" s="4" t="n">
        <v>0.1544</v>
      </c>
      <c r="J386" s="4" t="n">
        <v>0.963</v>
      </c>
      <c r="K386" s="4" t="n">
        <v>29</v>
      </c>
      <c r="L386" s="4" t="n">
        <v>45</v>
      </c>
      <c r="M386" s="4" t="n">
        <v>5</v>
      </c>
      <c r="N386" s="4" t="n">
        <v>1</v>
      </c>
    </row>
    <row r="387" customFormat="false" ht="15" hidden="false" customHeight="false" outlineLevel="0" collapsed="false">
      <c r="A387" s="4" t="s">
        <v>729</v>
      </c>
      <c r="B387" s="4" t="s">
        <v>208</v>
      </c>
      <c r="C387" s="4" t="s">
        <v>318</v>
      </c>
      <c r="D387" s="4" t="n">
        <v>2037052.14</v>
      </c>
      <c r="E387" s="4" t="n">
        <v>0.1679</v>
      </c>
      <c r="F387" s="4" t="n">
        <v>1695123.82</v>
      </c>
      <c r="G387" s="4" t="n">
        <v>1611960.96</v>
      </c>
      <c r="H387" s="4" t="n">
        <v>83162.86</v>
      </c>
      <c r="I387" s="4" t="n">
        <v>0.0491</v>
      </c>
      <c r="J387" s="4" t="n">
        <v>0.993</v>
      </c>
      <c r="K387" s="4" t="n">
        <v>85</v>
      </c>
      <c r="L387" s="4" t="n">
        <v>60</v>
      </c>
      <c r="M387" s="4" t="n">
        <v>8</v>
      </c>
      <c r="N387" s="4" t="n">
        <v>0</v>
      </c>
    </row>
    <row r="388" customFormat="false" ht="15" hidden="false" customHeight="false" outlineLevel="0" collapsed="false">
      <c r="A388" s="4" t="s">
        <v>730</v>
      </c>
      <c r="B388" s="4" t="s">
        <v>248</v>
      </c>
      <c r="C388" s="4" t="s">
        <v>274</v>
      </c>
      <c r="D388" s="4" t="n">
        <v>1064919.96</v>
      </c>
      <c r="E388" s="4" t="n">
        <v>0.0657</v>
      </c>
      <c r="F388" s="4" t="n">
        <v>994909.65</v>
      </c>
      <c r="G388" s="4" t="n">
        <v>837866.58</v>
      </c>
      <c r="H388" s="4" t="n">
        <v>157043.07</v>
      </c>
      <c r="I388" s="4" t="n">
        <v>0.1578</v>
      </c>
      <c r="J388" s="4" t="n">
        <v>1.06</v>
      </c>
      <c r="K388" s="4" t="n">
        <v>44</v>
      </c>
      <c r="L388" s="4" t="n">
        <v>90</v>
      </c>
      <c r="M388" s="4" t="n">
        <v>0</v>
      </c>
      <c r="N388" s="4" t="n">
        <v>1</v>
      </c>
    </row>
    <row r="389" customFormat="false" ht="15" hidden="false" customHeight="false" outlineLevel="0" collapsed="false">
      <c r="A389" s="4" t="s">
        <v>731</v>
      </c>
      <c r="B389" s="4" t="s">
        <v>76</v>
      </c>
      <c r="C389" s="4" t="s">
        <v>304</v>
      </c>
      <c r="D389" s="4" t="n">
        <v>247247.85</v>
      </c>
      <c r="E389" s="4" t="n">
        <v>0.1089</v>
      </c>
      <c r="F389" s="4" t="n">
        <v>220334.26</v>
      </c>
      <c r="G389" s="4" t="n">
        <v>188046.3</v>
      </c>
      <c r="H389" s="4" t="n">
        <v>32287.96</v>
      </c>
      <c r="I389" s="4" t="n">
        <v>0.1465</v>
      </c>
      <c r="J389" s="4" t="n">
        <v>1.109</v>
      </c>
      <c r="K389" s="4" t="n">
        <v>83</v>
      </c>
      <c r="L389" s="4" t="n">
        <v>60</v>
      </c>
      <c r="M389" s="4" t="n">
        <v>0</v>
      </c>
      <c r="N389" s="4" t="n">
        <v>0</v>
      </c>
    </row>
    <row r="390" customFormat="false" ht="15" hidden="false" customHeight="false" outlineLevel="0" collapsed="false">
      <c r="A390" s="4" t="s">
        <v>732</v>
      </c>
      <c r="B390" s="4" t="s">
        <v>220</v>
      </c>
      <c r="C390" s="4" t="s">
        <v>284</v>
      </c>
      <c r="D390" s="4" t="n">
        <v>222365.55</v>
      </c>
      <c r="E390" s="4" t="n">
        <v>0.096</v>
      </c>
      <c r="F390" s="4" t="n">
        <v>201011.21</v>
      </c>
      <c r="G390" s="4" t="n">
        <v>159029.2</v>
      </c>
      <c r="H390" s="4" t="n">
        <v>41982.01</v>
      </c>
      <c r="I390" s="4" t="n">
        <v>0.2089</v>
      </c>
      <c r="J390" s="4" t="n">
        <v>0.889</v>
      </c>
      <c r="K390" s="4" t="n">
        <v>56</v>
      </c>
      <c r="L390" s="4" t="n">
        <v>45</v>
      </c>
      <c r="M390" s="4" t="n">
        <v>5</v>
      </c>
      <c r="N390" s="4" t="n">
        <v>1</v>
      </c>
    </row>
    <row r="391" customFormat="false" ht="15" hidden="false" customHeight="false" outlineLevel="0" collapsed="false">
      <c r="A391" s="4" t="s">
        <v>733</v>
      </c>
      <c r="B391" s="4" t="s">
        <v>164</v>
      </c>
      <c r="C391" s="4" t="s">
        <v>265</v>
      </c>
      <c r="D391" s="4" t="n">
        <v>766662.8</v>
      </c>
      <c r="E391" s="4" t="n">
        <v>0.0929</v>
      </c>
      <c r="F391" s="4" t="n">
        <v>695441.26</v>
      </c>
      <c r="G391" s="4" t="n">
        <v>543009.32</v>
      </c>
      <c r="H391" s="4" t="n">
        <v>152431.94</v>
      </c>
      <c r="I391" s="4" t="n">
        <v>0.2192</v>
      </c>
      <c r="J391" s="4" t="n">
        <v>1.153</v>
      </c>
      <c r="K391" s="4" t="n">
        <v>66</v>
      </c>
      <c r="L391" s="4" t="n">
        <v>30</v>
      </c>
      <c r="M391" s="4" t="n">
        <v>5</v>
      </c>
      <c r="N391" s="4" t="n">
        <v>1</v>
      </c>
    </row>
    <row r="392" customFormat="false" ht="15" hidden="false" customHeight="false" outlineLevel="0" collapsed="false">
      <c r="A392" s="4" t="s">
        <v>734</v>
      </c>
      <c r="B392" s="4" t="s">
        <v>82</v>
      </c>
      <c r="C392" s="4" t="s">
        <v>292</v>
      </c>
      <c r="D392" s="4" t="n">
        <v>300954.54</v>
      </c>
      <c r="E392" s="4" t="n">
        <v>0</v>
      </c>
      <c r="F392" s="4" t="n">
        <v>300954.54</v>
      </c>
      <c r="G392" s="4" t="n">
        <v>222365.04</v>
      </c>
      <c r="H392" s="4" t="n">
        <v>78589.5</v>
      </c>
      <c r="I392" s="4" t="n">
        <v>0.2611</v>
      </c>
      <c r="J392" s="4" t="n">
        <v>0.997</v>
      </c>
      <c r="K392" s="4" t="n">
        <v>39</v>
      </c>
      <c r="L392" s="4" t="n">
        <v>30</v>
      </c>
      <c r="M392" s="4" t="n">
        <v>0</v>
      </c>
      <c r="N392" s="4" t="n">
        <v>0</v>
      </c>
    </row>
    <row r="393" customFormat="false" ht="15" hidden="false" customHeight="false" outlineLevel="0" collapsed="false">
      <c r="A393" s="4" t="s">
        <v>735</v>
      </c>
      <c r="B393" s="4" t="s">
        <v>108</v>
      </c>
      <c r="C393" s="4" t="s">
        <v>284</v>
      </c>
      <c r="D393" s="4" t="n">
        <v>44473.11</v>
      </c>
      <c r="E393" s="4" t="n">
        <v>0.144</v>
      </c>
      <c r="F393" s="4" t="n">
        <v>38068.17</v>
      </c>
      <c r="G393" s="4" t="n">
        <v>31805.84</v>
      </c>
      <c r="H393" s="4" t="n">
        <v>6262.33</v>
      </c>
      <c r="I393" s="4" t="n">
        <v>0.1645</v>
      </c>
      <c r="J393" s="4" t="n">
        <v>1.001</v>
      </c>
      <c r="K393" s="4" t="n">
        <v>44</v>
      </c>
      <c r="L393" s="4" t="n">
        <v>90</v>
      </c>
      <c r="M393" s="4" t="n">
        <v>0</v>
      </c>
      <c r="N393" s="4" t="n">
        <v>1</v>
      </c>
    </row>
    <row r="394" customFormat="false" ht="15" hidden="false" customHeight="false" outlineLevel="0" collapsed="false">
      <c r="A394" s="4" t="s">
        <v>736</v>
      </c>
      <c r="B394" s="4" t="s">
        <v>126</v>
      </c>
      <c r="C394" s="4" t="s">
        <v>314</v>
      </c>
      <c r="D394" s="4" t="n">
        <v>1665035.72</v>
      </c>
      <c r="E394" s="4" t="n">
        <v>0.0669</v>
      </c>
      <c r="F394" s="4" t="n">
        <v>1553631.18</v>
      </c>
      <c r="G394" s="4" t="n">
        <v>1152902.12</v>
      </c>
      <c r="H394" s="4" t="n">
        <v>400729.06</v>
      </c>
      <c r="I394" s="4" t="n">
        <v>0.2579</v>
      </c>
      <c r="J394" s="4" t="n">
        <v>0.979</v>
      </c>
      <c r="K394" s="4" t="n">
        <v>48</v>
      </c>
      <c r="L394" s="4" t="n">
        <v>30</v>
      </c>
      <c r="M394" s="4" t="n">
        <v>7</v>
      </c>
      <c r="N394" s="4" t="n">
        <v>0</v>
      </c>
    </row>
    <row r="395" customFormat="false" ht="15" hidden="false" customHeight="false" outlineLevel="0" collapsed="false">
      <c r="A395" s="4" t="s">
        <v>737</v>
      </c>
      <c r="B395" s="4" t="s">
        <v>252</v>
      </c>
      <c r="C395" s="4" t="s">
        <v>281</v>
      </c>
      <c r="D395" s="4" t="n">
        <v>19878.33</v>
      </c>
      <c r="E395" s="4" t="n">
        <v>0.0762</v>
      </c>
      <c r="F395" s="4" t="n">
        <v>18364.57</v>
      </c>
      <c r="G395" s="4" t="n">
        <v>15827.62</v>
      </c>
      <c r="H395" s="4" t="n">
        <v>2536.95</v>
      </c>
      <c r="I395" s="4" t="n">
        <v>0.1381</v>
      </c>
      <c r="J395" s="4" t="n">
        <v>1.079</v>
      </c>
      <c r="K395" s="4" t="n">
        <v>70</v>
      </c>
      <c r="L395" s="4" t="n">
        <v>90</v>
      </c>
      <c r="M395" s="4" t="n">
        <v>0</v>
      </c>
      <c r="N395" s="4" t="n">
        <v>0</v>
      </c>
    </row>
    <row r="396" customFormat="false" ht="15" hidden="false" customHeight="false" outlineLevel="0" collapsed="false">
      <c r="A396" s="4" t="s">
        <v>738</v>
      </c>
      <c r="B396" s="4" t="s">
        <v>140</v>
      </c>
      <c r="C396" s="4" t="s">
        <v>322</v>
      </c>
      <c r="D396" s="4" t="n">
        <v>248276.35</v>
      </c>
      <c r="E396" s="4" t="n">
        <v>0.017</v>
      </c>
      <c r="F396" s="4" t="n">
        <v>244058.37</v>
      </c>
      <c r="G396" s="4" t="n">
        <v>194651.5</v>
      </c>
      <c r="H396" s="4" t="n">
        <v>49406.87</v>
      </c>
      <c r="I396" s="4" t="n">
        <v>0.2024</v>
      </c>
      <c r="J396" s="4" t="n">
        <v>1.143</v>
      </c>
      <c r="K396" s="4" t="n">
        <v>67</v>
      </c>
      <c r="L396" s="4" t="n">
        <v>30</v>
      </c>
      <c r="M396" s="4" t="n">
        <v>2</v>
      </c>
      <c r="N396" s="4" t="n">
        <v>0</v>
      </c>
    </row>
    <row r="397" customFormat="false" ht="15" hidden="false" customHeight="false" outlineLevel="0" collapsed="false">
      <c r="A397" s="4" t="s">
        <v>739</v>
      </c>
      <c r="B397" s="4" t="s">
        <v>92</v>
      </c>
      <c r="C397" s="4" t="s">
        <v>328</v>
      </c>
      <c r="D397" s="4" t="n">
        <v>118974.7</v>
      </c>
      <c r="E397" s="4" t="n">
        <v>0.1464</v>
      </c>
      <c r="F397" s="4" t="n">
        <v>101555.83</v>
      </c>
      <c r="G397" s="4" t="n">
        <v>77917.75</v>
      </c>
      <c r="H397" s="4" t="n">
        <v>23638.08</v>
      </c>
      <c r="I397" s="4" t="n">
        <v>0.2328</v>
      </c>
      <c r="J397" s="4" t="n">
        <v>1.031</v>
      </c>
      <c r="K397" s="4" t="n">
        <v>64</v>
      </c>
      <c r="L397" s="4" t="n">
        <v>45</v>
      </c>
      <c r="M397" s="4" t="n">
        <v>9</v>
      </c>
      <c r="N397" s="4" t="n">
        <v>0</v>
      </c>
    </row>
    <row r="398" customFormat="false" ht="15" hidden="false" customHeight="false" outlineLevel="0" collapsed="false">
      <c r="A398" s="4" t="s">
        <v>740</v>
      </c>
      <c r="B398" s="4" t="s">
        <v>90</v>
      </c>
      <c r="C398" s="4" t="s">
        <v>324</v>
      </c>
      <c r="D398" s="4" t="n">
        <v>180516.55</v>
      </c>
      <c r="E398" s="4" t="n">
        <v>0.1752</v>
      </c>
      <c r="F398" s="4" t="n">
        <v>148892.16</v>
      </c>
      <c r="G398" s="4" t="n">
        <v>132661.7</v>
      </c>
      <c r="H398" s="4" t="n">
        <v>16230.46</v>
      </c>
      <c r="I398" s="4" t="n">
        <v>0.109</v>
      </c>
      <c r="J398" s="4" t="n">
        <v>0.916</v>
      </c>
      <c r="K398" s="4" t="n">
        <v>68</v>
      </c>
      <c r="L398" s="4" t="n">
        <v>30</v>
      </c>
      <c r="M398" s="4" t="n">
        <v>12</v>
      </c>
      <c r="N398" s="4" t="n">
        <v>1</v>
      </c>
    </row>
    <row r="399" customFormat="false" ht="15" hidden="false" customHeight="false" outlineLevel="0" collapsed="false">
      <c r="A399" s="4" t="s">
        <v>741</v>
      </c>
      <c r="B399" s="4" t="s">
        <v>100</v>
      </c>
      <c r="C399" s="4" t="s">
        <v>281</v>
      </c>
      <c r="D399" s="4" t="n">
        <v>19878.33</v>
      </c>
      <c r="E399" s="4" t="n">
        <v>0.0435</v>
      </c>
      <c r="F399" s="4" t="n">
        <v>19013.44</v>
      </c>
      <c r="G399" s="4" t="n">
        <v>15827.62</v>
      </c>
      <c r="H399" s="4" t="n">
        <v>3185.82</v>
      </c>
      <c r="I399" s="4" t="n">
        <v>0.1676</v>
      </c>
      <c r="J399" s="4" t="n">
        <v>1.026</v>
      </c>
      <c r="K399" s="4" t="n">
        <v>32</v>
      </c>
      <c r="L399" s="4" t="n">
        <v>120</v>
      </c>
      <c r="M399" s="4" t="n">
        <v>0</v>
      </c>
      <c r="N399" s="4" t="n">
        <v>0</v>
      </c>
    </row>
    <row r="400" customFormat="false" ht="15" hidden="false" customHeight="false" outlineLevel="0" collapsed="false">
      <c r="A400" s="4" t="s">
        <v>742</v>
      </c>
      <c r="B400" s="4" t="s">
        <v>126</v>
      </c>
      <c r="C400" s="4" t="s">
        <v>312</v>
      </c>
      <c r="D400" s="4" t="n">
        <v>626444.32</v>
      </c>
      <c r="E400" s="4" t="n">
        <v>0.1523</v>
      </c>
      <c r="F400" s="4" t="n">
        <v>531049.08</v>
      </c>
      <c r="G400" s="4" t="n">
        <v>413537.12</v>
      </c>
      <c r="H400" s="4" t="n">
        <v>117511.96</v>
      </c>
      <c r="I400" s="4" t="n">
        <v>0.2213</v>
      </c>
      <c r="J400" s="4" t="n">
        <v>0.895</v>
      </c>
      <c r="K400" s="4" t="n">
        <v>75</v>
      </c>
      <c r="L400" s="4" t="n">
        <v>120</v>
      </c>
      <c r="M400" s="4" t="n">
        <v>15</v>
      </c>
      <c r="N400" s="4" t="n">
        <v>1</v>
      </c>
    </row>
    <row r="401" customFormat="false" ht="15" hidden="false" customHeight="false" outlineLevel="0" collapsed="false">
      <c r="A401" s="4" t="s">
        <v>743</v>
      </c>
      <c r="B401" s="4" t="s">
        <v>118</v>
      </c>
      <c r="C401" s="4" t="s">
        <v>271</v>
      </c>
      <c r="D401" s="4" t="n">
        <v>2748656.12</v>
      </c>
      <c r="E401" s="4" t="n">
        <v>0.0431</v>
      </c>
      <c r="F401" s="4" t="n">
        <v>2630062.95</v>
      </c>
      <c r="G401" s="4" t="n">
        <v>2118011.04</v>
      </c>
      <c r="H401" s="4" t="n">
        <v>512051.91</v>
      </c>
      <c r="I401" s="4" t="n">
        <v>0.1947</v>
      </c>
      <c r="J401" s="4" t="n">
        <v>1.048</v>
      </c>
      <c r="K401" s="4" t="n">
        <v>54</v>
      </c>
      <c r="L401" s="4" t="n">
        <v>30</v>
      </c>
      <c r="M401" s="4" t="n">
        <v>11</v>
      </c>
      <c r="N401" s="4" t="n">
        <v>1</v>
      </c>
    </row>
    <row r="402" customFormat="false" ht="15" hidden="false" customHeight="false" outlineLevel="0" collapsed="false">
      <c r="A402" s="4" t="s">
        <v>744</v>
      </c>
      <c r="B402" s="4" t="s">
        <v>182</v>
      </c>
      <c r="C402" s="4" t="s">
        <v>302</v>
      </c>
      <c r="D402" s="4" t="n">
        <v>34256.16</v>
      </c>
      <c r="E402" s="4" t="n">
        <v>0.116</v>
      </c>
      <c r="F402" s="4" t="n">
        <v>30283.96</v>
      </c>
      <c r="G402" s="4" t="n">
        <v>26985.42</v>
      </c>
      <c r="H402" s="4" t="n">
        <v>3298.54</v>
      </c>
      <c r="I402" s="4" t="n">
        <v>0.1089</v>
      </c>
      <c r="J402" s="4" t="n">
        <v>0.987</v>
      </c>
      <c r="K402" s="4" t="n">
        <v>54</v>
      </c>
      <c r="L402" s="4" t="n">
        <v>30</v>
      </c>
      <c r="M402" s="4" t="n">
        <v>0</v>
      </c>
      <c r="N402" s="4" t="n">
        <v>1</v>
      </c>
    </row>
    <row r="403" customFormat="false" ht="15" hidden="false" customHeight="false" outlineLevel="0" collapsed="false">
      <c r="A403" s="4" t="s">
        <v>745</v>
      </c>
      <c r="B403" s="4" t="s">
        <v>96</v>
      </c>
      <c r="C403" s="4" t="s">
        <v>279</v>
      </c>
      <c r="D403" s="4" t="n">
        <v>108127.96</v>
      </c>
      <c r="E403" s="4" t="n">
        <v>0.0732</v>
      </c>
      <c r="F403" s="4" t="n">
        <v>100207.98</v>
      </c>
      <c r="G403" s="4" t="n">
        <v>91012.58</v>
      </c>
      <c r="H403" s="4" t="n">
        <v>9195.4</v>
      </c>
      <c r="I403" s="4" t="n">
        <v>0.0918</v>
      </c>
      <c r="J403" s="4" t="n">
        <v>1.083</v>
      </c>
      <c r="K403" s="4" t="n">
        <v>26</v>
      </c>
      <c r="L403" s="4" t="n">
        <v>30</v>
      </c>
      <c r="M403" s="4" t="n">
        <v>6</v>
      </c>
      <c r="N403" s="4" t="n">
        <v>1</v>
      </c>
    </row>
    <row r="404" customFormat="false" ht="15" hidden="false" customHeight="false" outlineLevel="0" collapsed="false">
      <c r="A404" s="4" t="s">
        <v>746</v>
      </c>
      <c r="B404" s="4" t="s">
        <v>224</v>
      </c>
      <c r="C404" s="4" t="s">
        <v>292</v>
      </c>
      <c r="D404" s="4" t="n">
        <v>100318.18</v>
      </c>
      <c r="E404" s="4" t="n">
        <v>0.1125</v>
      </c>
      <c r="F404" s="4" t="n">
        <v>89031.72</v>
      </c>
      <c r="G404" s="4" t="n">
        <v>74121.68</v>
      </c>
      <c r="H404" s="4" t="n">
        <v>14910.04</v>
      </c>
      <c r="I404" s="4" t="n">
        <v>0.1675</v>
      </c>
      <c r="J404" s="4" t="n">
        <v>1.144</v>
      </c>
      <c r="K404" s="4" t="n">
        <v>30</v>
      </c>
      <c r="L404" s="4" t="n">
        <v>30</v>
      </c>
      <c r="M404" s="4" t="n">
        <v>8</v>
      </c>
      <c r="N404" s="4" t="n">
        <v>1</v>
      </c>
    </row>
    <row r="405" customFormat="false" ht="15" hidden="false" customHeight="false" outlineLevel="0" collapsed="false">
      <c r="A405" s="4" t="s">
        <v>747</v>
      </c>
      <c r="B405" s="4" t="s">
        <v>190</v>
      </c>
      <c r="C405" s="4" t="s">
        <v>292</v>
      </c>
      <c r="D405" s="4" t="n">
        <v>200636.36</v>
      </c>
      <c r="E405" s="4" t="n">
        <v>0.0232</v>
      </c>
      <c r="F405" s="4" t="n">
        <v>195987.44</v>
      </c>
      <c r="G405" s="4" t="n">
        <v>148243.36</v>
      </c>
      <c r="H405" s="4" t="n">
        <v>47744.08</v>
      </c>
      <c r="I405" s="4" t="n">
        <v>0.2436</v>
      </c>
      <c r="J405" s="4" t="n">
        <v>1.055</v>
      </c>
      <c r="K405" s="4" t="n">
        <v>81</v>
      </c>
      <c r="L405" s="4" t="n">
        <v>30</v>
      </c>
      <c r="M405" s="4" t="n">
        <v>0</v>
      </c>
      <c r="N405" s="4" t="n">
        <v>0</v>
      </c>
    </row>
    <row r="406" customFormat="false" ht="15" hidden="false" customHeight="false" outlineLevel="0" collapsed="false">
      <c r="A406" s="4" t="s">
        <v>748</v>
      </c>
      <c r="B406" s="4" t="s">
        <v>164</v>
      </c>
      <c r="C406" s="4" t="s">
        <v>320</v>
      </c>
      <c r="D406" s="4" t="n">
        <v>121262.61</v>
      </c>
      <c r="E406" s="4" t="n">
        <v>0</v>
      </c>
      <c r="F406" s="4" t="n">
        <v>121262.61</v>
      </c>
      <c r="G406" s="4" t="n">
        <v>85897.11</v>
      </c>
      <c r="H406" s="4" t="n">
        <v>35365.5</v>
      </c>
      <c r="I406" s="4" t="n">
        <v>0.2916</v>
      </c>
      <c r="J406" s="4" t="n">
        <v>1.099</v>
      </c>
      <c r="K406" s="4" t="n">
        <v>52</v>
      </c>
      <c r="L406" s="4" t="n">
        <v>30</v>
      </c>
      <c r="M406" s="4" t="n">
        <v>4</v>
      </c>
      <c r="N406" s="4" t="n">
        <v>1</v>
      </c>
    </row>
    <row r="407" customFormat="false" ht="15" hidden="false" customHeight="false" outlineLevel="0" collapsed="false">
      <c r="A407" s="4" t="s">
        <v>749</v>
      </c>
      <c r="B407" s="4" t="s">
        <v>78</v>
      </c>
      <c r="C407" s="4" t="s">
        <v>287</v>
      </c>
      <c r="D407" s="4" t="n">
        <v>82396.64</v>
      </c>
      <c r="E407" s="4" t="n">
        <v>0.1129</v>
      </c>
      <c r="F407" s="4" t="n">
        <v>73092.61</v>
      </c>
      <c r="G407" s="4" t="n">
        <v>73131.36</v>
      </c>
      <c r="H407" s="4" t="n">
        <v>-38.75</v>
      </c>
      <c r="I407" s="4" t="n">
        <v>-0.0005</v>
      </c>
      <c r="J407" s="4" t="n">
        <v>1.142</v>
      </c>
      <c r="K407" s="4" t="n">
        <v>92</v>
      </c>
      <c r="L407" s="4" t="n">
        <v>60</v>
      </c>
      <c r="M407" s="4" t="n">
        <v>8</v>
      </c>
      <c r="N407" s="4" t="n">
        <v>0</v>
      </c>
    </row>
    <row r="408" customFormat="false" ht="15" hidden="false" customHeight="false" outlineLevel="0" collapsed="false">
      <c r="A408" s="4" t="s">
        <v>750</v>
      </c>
      <c r="B408" s="4" t="s">
        <v>240</v>
      </c>
      <c r="C408" s="4" t="s">
        <v>292</v>
      </c>
      <c r="D408" s="4" t="n">
        <v>200636.36</v>
      </c>
      <c r="E408" s="4" t="n">
        <v>0.0587</v>
      </c>
      <c r="F408" s="4" t="n">
        <v>188866.16</v>
      </c>
      <c r="G408" s="4" t="n">
        <v>148243.36</v>
      </c>
      <c r="H408" s="4" t="n">
        <v>40622.8</v>
      </c>
      <c r="I408" s="4" t="n">
        <v>0.2151</v>
      </c>
      <c r="J408" s="4" t="n">
        <v>1.052</v>
      </c>
      <c r="K408" s="4" t="n">
        <v>45</v>
      </c>
      <c r="L408" s="4" t="n">
        <v>30</v>
      </c>
      <c r="M408" s="4" t="n">
        <v>0</v>
      </c>
      <c r="N408" s="4" t="n">
        <v>0</v>
      </c>
    </row>
    <row r="409" customFormat="false" ht="15" hidden="false" customHeight="false" outlineLevel="0" collapsed="false">
      <c r="A409" s="4" t="s">
        <v>751</v>
      </c>
      <c r="B409" s="4" t="s">
        <v>228</v>
      </c>
      <c r="C409" s="4" t="s">
        <v>312</v>
      </c>
      <c r="D409" s="4" t="n">
        <v>156611.08</v>
      </c>
      <c r="E409" s="4" t="n">
        <v>0</v>
      </c>
      <c r="F409" s="4" t="n">
        <v>156611.08</v>
      </c>
      <c r="G409" s="4" t="n">
        <v>103384.28</v>
      </c>
      <c r="H409" s="4" t="n">
        <v>53226.8</v>
      </c>
      <c r="I409" s="4" t="n">
        <v>0.3399</v>
      </c>
      <c r="J409" s="4" t="n">
        <v>1.014</v>
      </c>
      <c r="K409" s="4" t="n">
        <v>72</v>
      </c>
      <c r="L409" s="4" t="n">
        <v>90</v>
      </c>
      <c r="M409" s="4" t="n">
        <v>0</v>
      </c>
      <c r="N409" s="4" t="n">
        <v>1</v>
      </c>
    </row>
    <row r="410" customFormat="false" ht="15" hidden="false" customHeight="false" outlineLevel="0" collapsed="false">
      <c r="A410" s="4" t="s">
        <v>752</v>
      </c>
      <c r="B410" s="4" t="s">
        <v>122</v>
      </c>
      <c r="C410" s="4" t="s">
        <v>316</v>
      </c>
      <c r="D410" s="4" t="n">
        <v>716900.2</v>
      </c>
      <c r="E410" s="4" t="n">
        <v>0.1001</v>
      </c>
      <c r="F410" s="4" t="n">
        <v>645160.96</v>
      </c>
      <c r="G410" s="4" t="n">
        <v>456455.56</v>
      </c>
      <c r="H410" s="4" t="n">
        <v>188705.4</v>
      </c>
      <c r="I410" s="4" t="n">
        <v>0.2925</v>
      </c>
      <c r="J410" s="4" t="n">
        <v>1.035</v>
      </c>
      <c r="K410" s="4" t="n">
        <v>80</v>
      </c>
      <c r="L410" s="4" t="n">
        <v>60</v>
      </c>
      <c r="M410" s="4" t="n">
        <v>0</v>
      </c>
      <c r="N410" s="4" t="n">
        <v>1</v>
      </c>
    </row>
    <row r="411" customFormat="false" ht="15" hidden="false" customHeight="false" outlineLevel="0" collapsed="false">
      <c r="A411" s="4" t="s">
        <v>753</v>
      </c>
      <c r="B411" s="4" t="s">
        <v>200</v>
      </c>
      <c r="C411" s="4" t="s">
        <v>296</v>
      </c>
      <c r="D411" s="4" t="n">
        <v>4125676.84</v>
      </c>
      <c r="E411" s="4" t="n">
        <v>0.121</v>
      </c>
      <c r="F411" s="4" t="n">
        <v>3626274.9</v>
      </c>
      <c r="G411" s="4" t="n">
        <v>2532948.08</v>
      </c>
      <c r="H411" s="4" t="n">
        <v>1093326.82</v>
      </c>
      <c r="I411" s="4" t="n">
        <v>0.3015</v>
      </c>
      <c r="J411" s="4" t="n">
        <v>0.972</v>
      </c>
      <c r="K411" s="4" t="n">
        <v>76</v>
      </c>
      <c r="L411" s="4" t="n">
        <v>45</v>
      </c>
      <c r="M411" s="4" t="n">
        <v>12</v>
      </c>
      <c r="N411" s="4" t="n">
        <v>1</v>
      </c>
    </row>
    <row r="412" customFormat="false" ht="15" hidden="false" customHeight="false" outlineLevel="0" collapsed="false">
      <c r="A412" s="4" t="s">
        <v>754</v>
      </c>
      <c r="B412" s="4" t="s">
        <v>230</v>
      </c>
      <c r="C412" s="4" t="s">
        <v>318</v>
      </c>
      <c r="D412" s="4" t="n">
        <v>2037052.14</v>
      </c>
      <c r="E412" s="4" t="n">
        <v>0.1791</v>
      </c>
      <c r="F412" s="4" t="n">
        <v>1672256.65</v>
      </c>
      <c r="G412" s="4" t="n">
        <v>1611960.96</v>
      </c>
      <c r="H412" s="4" t="n">
        <v>60295.69</v>
      </c>
      <c r="I412" s="4" t="n">
        <v>0.0361</v>
      </c>
      <c r="J412" s="4" t="n">
        <v>0.863</v>
      </c>
      <c r="K412" s="4" t="n">
        <v>50</v>
      </c>
      <c r="L412" s="4" t="n">
        <v>30</v>
      </c>
      <c r="M412" s="4" t="n">
        <v>15</v>
      </c>
      <c r="N412" s="4" t="n">
        <v>1</v>
      </c>
    </row>
    <row r="413" customFormat="false" ht="15" hidden="false" customHeight="false" outlineLevel="0" collapsed="false">
      <c r="A413" s="4" t="s">
        <v>755</v>
      </c>
      <c r="B413" s="4" t="s">
        <v>248</v>
      </c>
      <c r="C413" s="4" t="s">
        <v>298</v>
      </c>
      <c r="D413" s="4" t="n">
        <v>891722.96</v>
      </c>
      <c r="E413" s="4" t="n">
        <v>0.1104</v>
      </c>
      <c r="F413" s="4" t="n">
        <v>793316.05</v>
      </c>
      <c r="G413" s="4" t="n">
        <v>673274.35</v>
      </c>
      <c r="H413" s="4" t="n">
        <v>120041.7</v>
      </c>
      <c r="I413" s="4" t="n">
        <v>0.1513</v>
      </c>
      <c r="J413" s="4" t="n">
        <v>1.069</v>
      </c>
      <c r="K413" s="4" t="n">
        <v>52</v>
      </c>
      <c r="L413" s="4" t="n">
        <v>60</v>
      </c>
      <c r="M413" s="4" t="n">
        <v>8</v>
      </c>
      <c r="N413" s="4" t="n">
        <v>1</v>
      </c>
    </row>
    <row r="414" customFormat="false" ht="15" hidden="false" customHeight="false" outlineLevel="0" collapsed="false">
      <c r="A414" s="4" t="s">
        <v>756</v>
      </c>
      <c r="B414" s="4" t="s">
        <v>138</v>
      </c>
      <c r="C414" s="4" t="s">
        <v>306</v>
      </c>
      <c r="D414" s="4" t="n">
        <v>93719.35</v>
      </c>
      <c r="E414" s="4" t="n">
        <v>0.0818</v>
      </c>
      <c r="F414" s="4" t="n">
        <v>86053.46</v>
      </c>
      <c r="G414" s="4" t="n">
        <v>65105.98</v>
      </c>
      <c r="H414" s="4" t="n">
        <v>20947.48</v>
      </c>
      <c r="I414" s="4" t="n">
        <v>0.2434</v>
      </c>
      <c r="J414" s="4" t="n">
        <v>1.045</v>
      </c>
      <c r="K414" s="4" t="n">
        <v>57</v>
      </c>
      <c r="L414" s="4" t="n">
        <v>30</v>
      </c>
      <c r="M414" s="4" t="n">
        <v>0</v>
      </c>
      <c r="N414" s="4" t="n">
        <v>1</v>
      </c>
    </row>
    <row r="415" customFormat="false" ht="15" hidden="false" customHeight="false" outlineLevel="0" collapsed="false">
      <c r="A415" s="4" t="s">
        <v>757</v>
      </c>
      <c r="B415" s="4" t="s">
        <v>154</v>
      </c>
      <c r="C415" s="4" t="s">
        <v>318</v>
      </c>
      <c r="D415" s="4" t="n">
        <v>1358034.76</v>
      </c>
      <c r="E415" s="4" t="n">
        <v>0.0539</v>
      </c>
      <c r="F415" s="4" t="n">
        <v>1284844.28</v>
      </c>
      <c r="G415" s="4" t="n">
        <v>1074640.64</v>
      </c>
      <c r="H415" s="4" t="n">
        <v>210203.64</v>
      </c>
      <c r="I415" s="4" t="n">
        <v>0.1636</v>
      </c>
      <c r="J415" s="4" t="n">
        <v>1.008</v>
      </c>
      <c r="K415" s="4" t="n">
        <v>89</v>
      </c>
      <c r="L415" s="4" t="n">
        <v>45</v>
      </c>
      <c r="M415" s="4" t="n">
        <v>0</v>
      </c>
      <c r="N415" s="4" t="n">
        <v>0</v>
      </c>
    </row>
    <row r="416" customFormat="false" ht="15" hidden="false" customHeight="false" outlineLevel="0" collapsed="false">
      <c r="A416" s="4" t="s">
        <v>758</v>
      </c>
      <c r="B416" s="4" t="s">
        <v>78</v>
      </c>
      <c r="C416" s="4" t="s">
        <v>292</v>
      </c>
      <c r="D416" s="4" t="n">
        <v>401272.72</v>
      </c>
      <c r="E416" s="4" t="n">
        <v>0.0449</v>
      </c>
      <c r="F416" s="4" t="n">
        <v>383270.38</v>
      </c>
      <c r="G416" s="4" t="n">
        <v>296486.72</v>
      </c>
      <c r="H416" s="4" t="n">
        <v>86783.66</v>
      </c>
      <c r="I416" s="4" t="n">
        <v>0.2264</v>
      </c>
      <c r="J416" s="4" t="n">
        <v>1.219</v>
      </c>
      <c r="K416" s="4" t="n">
        <v>71</v>
      </c>
      <c r="L416" s="4" t="n">
        <v>30</v>
      </c>
      <c r="M416" s="4" t="n">
        <v>4</v>
      </c>
      <c r="N416" s="4" t="n">
        <v>0</v>
      </c>
    </row>
    <row r="417" customFormat="false" ht="15" hidden="false" customHeight="false" outlineLevel="0" collapsed="false">
      <c r="A417" s="4" t="s">
        <v>759</v>
      </c>
      <c r="B417" s="4" t="s">
        <v>100</v>
      </c>
      <c r="C417" s="4" t="s">
        <v>306</v>
      </c>
      <c r="D417" s="4" t="n">
        <v>187438.7</v>
      </c>
      <c r="E417" s="4" t="n">
        <v>0.184</v>
      </c>
      <c r="F417" s="4" t="n">
        <v>152954.65</v>
      </c>
      <c r="G417" s="4" t="n">
        <v>130211.96</v>
      </c>
      <c r="H417" s="4" t="n">
        <v>22742.69</v>
      </c>
      <c r="I417" s="4" t="n">
        <v>0.1487</v>
      </c>
      <c r="J417" s="4" t="n">
        <v>1.031</v>
      </c>
      <c r="K417" s="4" t="n">
        <v>49</v>
      </c>
      <c r="L417" s="4" t="n">
        <v>30</v>
      </c>
      <c r="M417" s="4" t="n">
        <v>4</v>
      </c>
      <c r="N417" s="4" t="n">
        <v>1</v>
      </c>
    </row>
    <row r="418" customFormat="false" ht="15" hidden="false" customHeight="false" outlineLevel="0" collapsed="false">
      <c r="A418" s="4" t="s">
        <v>760</v>
      </c>
      <c r="B418" s="4" t="s">
        <v>170</v>
      </c>
      <c r="C418" s="4" t="s">
        <v>308</v>
      </c>
      <c r="D418" s="4" t="n">
        <v>27908.66</v>
      </c>
      <c r="E418" s="4" t="n">
        <v>0.0622</v>
      </c>
      <c r="F418" s="4" t="n">
        <v>26173.36</v>
      </c>
      <c r="G418" s="4" t="n">
        <v>24456.2</v>
      </c>
      <c r="H418" s="4" t="n">
        <v>1717.16</v>
      </c>
      <c r="I418" s="4" t="n">
        <v>0.0656</v>
      </c>
      <c r="J418" s="4" t="n">
        <v>0.906</v>
      </c>
      <c r="K418" s="4" t="n">
        <v>66</v>
      </c>
      <c r="L418" s="4" t="n">
        <v>45</v>
      </c>
      <c r="M418" s="4" t="n">
        <v>0</v>
      </c>
      <c r="N418" s="4" t="n">
        <v>0</v>
      </c>
    </row>
    <row r="419" customFormat="false" ht="15" hidden="false" customHeight="false" outlineLevel="0" collapsed="false">
      <c r="A419" s="4" t="s">
        <v>761</v>
      </c>
      <c r="B419" s="4" t="s">
        <v>226</v>
      </c>
      <c r="C419" s="4" t="s">
        <v>281</v>
      </c>
      <c r="D419" s="4" t="n">
        <v>59634.99</v>
      </c>
      <c r="E419" s="4" t="n">
        <v>0.0677</v>
      </c>
      <c r="F419" s="4" t="n">
        <v>55596.06</v>
      </c>
      <c r="G419" s="4" t="n">
        <v>47482.86</v>
      </c>
      <c r="H419" s="4" t="n">
        <v>8113.2</v>
      </c>
      <c r="I419" s="4" t="n">
        <v>0.1459</v>
      </c>
      <c r="J419" s="4" t="n">
        <v>1.122</v>
      </c>
      <c r="K419" s="4" t="n">
        <v>47</v>
      </c>
      <c r="L419" s="4" t="n">
        <v>120</v>
      </c>
      <c r="M419" s="4" t="n">
        <v>5</v>
      </c>
      <c r="N419" s="4" t="n">
        <v>0</v>
      </c>
    </row>
    <row r="420" customFormat="false" ht="15" hidden="false" customHeight="false" outlineLevel="0" collapsed="false">
      <c r="A420" s="4" t="s">
        <v>762</v>
      </c>
      <c r="B420" s="4" t="s">
        <v>150</v>
      </c>
      <c r="C420" s="4" t="s">
        <v>326</v>
      </c>
      <c r="D420" s="4" t="n">
        <v>424311.6</v>
      </c>
      <c r="E420" s="4" t="n">
        <v>0.0477</v>
      </c>
      <c r="F420" s="4" t="n">
        <v>404052.76</v>
      </c>
      <c r="G420" s="4" t="n">
        <v>273627.4</v>
      </c>
      <c r="H420" s="4" t="n">
        <v>130425.36</v>
      </c>
      <c r="I420" s="4" t="n">
        <v>0.3228</v>
      </c>
      <c r="J420" s="4" t="n">
        <v>1.014</v>
      </c>
      <c r="K420" s="4" t="n">
        <v>55</v>
      </c>
      <c r="L420" s="4" t="n">
        <v>60</v>
      </c>
      <c r="M420" s="4" t="n">
        <v>5</v>
      </c>
      <c r="N420" s="4" t="n">
        <v>0</v>
      </c>
    </row>
    <row r="421" customFormat="false" ht="15" hidden="false" customHeight="false" outlineLevel="0" collapsed="false">
      <c r="A421" s="4" t="s">
        <v>763</v>
      </c>
      <c r="B421" s="4" t="s">
        <v>154</v>
      </c>
      <c r="C421" s="4" t="s">
        <v>268</v>
      </c>
      <c r="D421" s="4" t="n">
        <v>1663660.12</v>
      </c>
      <c r="E421" s="4" t="n">
        <v>0.0828</v>
      </c>
      <c r="F421" s="4" t="n">
        <v>1525951.23</v>
      </c>
      <c r="G421" s="4" t="n">
        <v>1324069.32</v>
      </c>
      <c r="H421" s="4" t="n">
        <v>201881.91</v>
      </c>
      <c r="I421" s="4" t="n">
        <v>0.1323</v>
      </c>
      <c r="J421" s="4" t="n">
        <v>0.993</v>
      </c>
      <c r="K421" s="4" t="n">
        <v>32</v>
      </c>
      <c r="L421" s="4" t="n">
        <v>30</v>
      </c>
      <c r="M421" s="4" t="n">
        <v>0</v>
      </c>
      <c r="N421" s="4" t="n">
        <v>1</v>
      </c>
    </row>
    <row r="422" customFormat="false" ht="15" hidden="false" customHeight="false" outlineLevel="0" collapsed="false">
      <c r="A422" s="4" t="s">
        <v>764</v>
      </c>
      <c r="B422" s="4" t="s">
        <v>146</v>
      </c>
      <c r="C422" s="4" t="s">
        <v>271</v>
      </c>
      <c r="D422" s="4" t="n">
        <v>2748656.12</v>
      </c>
      <c r="E422" s="4" t="n">
        <v>0.1203</v>
      </c>
      <c r="F422" s="4" t="n">
        <v>2417859.39</v>
      </c>
      <c r="G422" s="4" t="n">
        <v>2118011.04</v>
      </c>
      <c r="H422" s="4" t="n">
        <v>299848.35</v>
      </c>
      <c r="I422" s="4" t="n">
        <v>0.124</v>
      </c>
      <c r="J422" s="4" t="n">
        <v>0.944</v>
      </c>
      <c r="K422" s="4" t="n">
        <v>110</v>
      </c>
      <c r="L422" s="4" t="n">
        <v>120</v>
      </c>
      <c r="M422" s="4" t="n">
        <v>8</v>
      </c>
      <c r="N422" s="4" t="n">
        <v>0</v>
      </c>
    </row>
    <row r="423" customFormat="false" ht="15" hidden="false" customHeight="false" outlineLevel="0" collapsed="false">
      <c r="A423" s="4" t="s">
        <v>765</v>
      </c>
      <c r="B423" s="4" t="s">
        <v>108</v>
      </c>
      <c r="C423" s="4" t="s">
        <v>328</v>
      </c>
      <c r="D423" s="4" t="n">
        <v>118974.7</v>
      </c>
      <c r="E423" s="4" t="n">
        <v>0.0346</v>
      </c>
      <c r="F423" s="4" t="n">
        <v>114852.24</v>
      </c>
      <c r="G423" s="4" t="n">
        <v>77917.75</v>
      </c>
      <c r="H423" s="4" t="n">
        <v>36934.49</v>
      </c>
      <c r="I423" s="4" t="n">
        <v>0.3216</v>
      </c>
      <c r="J423" s="4" t="n">
        <v>0.795</v>
      </c>
      <c r="K423" s="4" t="n">
        <v>51</v>
      </c>
      <c r="L423" s="4" t="n">
        <v>45</v>
      </c>
      <c r="M423" s="4" t="n">
        <v>1</v>
      </c>
      <c r="N423" s="4" t="n">
        <v>1</v>
      </c>
    </row>
    <row r="424" customFormat="false" ht="15" hidden="false" customHeight="false" outlineLevel="0" collapsed="false">
      <c r="A424" s="4" t="s">
        <v>766</v>
      </c>
      <c r="B424" s="4" t="s">
        <v>240</v>
      </c>
      <c r="C424" s="4" t="s">
        <v>328</v>
      </c>
      <c r="D424" s="4" t="n">
        <v>71384.82</v>
      </c>
      <c r="E424" s="4" t="n">
        <v>0.1139</v>
      </c>
      <c r="F424" s="4" t="n">
        <v>63250.83</v>
      </c>
      <c r="G424" s="4" t="n">
        <v>46750.65</v>
      </c>
      <c r="H424" s="4" t="n">
        <v>16500.18</v>
      </c>
      <c r="I424" s="4" t="n">
        <v>0.2609</v>
      </c>
      <c r="J424" s="4" t="n">
        <v>0.925</v>
      </c>
      <c r="K424" s="4" t="n">
        <v>38</v>
      </c>
      <c r="L424" s="4" t="n">
        <v>90</v>
      </c>
      <c r="M424" s="4" t="n">
        <v>2</v>
      </c>
      <c r="N424" s="4" t="n">
        <v>1</v>
      </c>
    </row>
    <row r="425" customFormat="false" ht="15" hidden="false" customHeight="false" outlineLevel="0" collapsed="false">
      <c r="A425" s="4" t="s">
        <v>767</v>
      </c>
      <c r="B425" s="4" t="s">
        <v>116</v>
      </c>
      <c r="C425" s="4" t="s">
        <v>276</v>
      </c>
      <c r="D425" s="4" t="n">
        <v>97256</v>
      </c>
      <c r="E425" s="4" t="n">
        <v>0.0715</v>
      </c>
      <c r="F425" s="4" t="n">
        <v>90297.93</v>
      </c>
      <c r="G425" s="4" t="n">
        <v>64568.66</v>
      </c>
      <c r="H425" s="4" t="n">
        <v>25729.27</v>
      </c>
      <c r="I425" s="4" t="n">
        <v>0.2849</v>
      </c>
      <c r="J425" s="4" t="n">
        <v>0.943</v>
      </c>
      <c r="K425" s="4" t="n">
        <v>34</v>
      </c>
      <c r="L425" s="4" t="n">
        <v>60</v>
      </c>
      <c r="M425" s="4" t="n">
        <v>4</v>
      </c>
      <c r="N425" s="4" t="n">
        <v>0</v>
      </c>
    </row>
    <row r="426" customFormat="false" ht="15" hidden="false" customHeight="false" outlineLevel="0" collapsed="false">
      <c r="A426" s="4" t="s">
        <v>768</v>
      </c>
      <c r="B426" s="4" t="s">
        <v>144</v>
      </c>
      <c r="C426" s="4" t="s">
        <v>298</v>
      </c>
      <c r="D426" s="4" t="n">
        <v>2675168.88</v>
      </c>
      <c r="E426" s="4" t="n">
        <v>0.1008</v>
      </c>
      <c r="F426" s="4" t="n">
        <v>2405603.12</v>
      </c>
      <c r="G426" s="4" t="n">
        <v>2019823.05</v>
      </c>
      <c r="H426" s="4" t="n">
        <v>385780.07</v>
      </c>
      <c r="I426" s="4" t="n">
        <v>0.1604</v>
      </c>
      <c r="J426" s="4" t="n">
        <v>0.941</v>
      </c>
      <c r="K426" s="4" t="n">
        <v>57</v>
      </c>
      <c r="L426" s="4" t="n">
        <v>120</v>
      </c>
      <c r="M426" s="4" t="n">
        <v>5</v>
      </c>
      <c r="N426" s="4" t="n">
        <v>1</v>
      </c>
    </row>
    <row r="427" customFormat="false" ht="15" hidden="false" customHeight="false" outlineLevel="0" collapsed="false">
      <c r="A427" s="4" t="s">
        <v>769</v>
      </c>
      <c r="B427" s="4" t="s">
        <v>168</v>
      </c>
      <c r="C427" s="4" t="s">
        <v>281</v>
      </c>
      <c r="D427" s="4" t="n">
        <v>39756.66</v>
      </c>
      <c r="E427" s="4" t="n">
        <v>0.0609</v>
      </c>
      <c r="F427" s="4" t="n">
        <v>37335.5</v>
      </c>
      <c r="G427" s="4" t="n">
        <v>31655.24</v>
      </c>
      <c r="H427" s="4" t="n">
        <v>5680.26</v>
      </c>
      <c r="I427" s="4" t="n">
        <v>0.1521</v>
      </c>
      <c r="J427" s="4" t="n">
        <v>1.063</v>
      </c>
      <c r="K427" s="4" t="n">
        <v>50</v>
      </c>
      <c r="L427" s="4" t="n">
        <v>60</v>
      </c>
      <c r="M427" s="4" t="n">
        <v>2</v>
      </c>
      <c r="N427" s="4" t="n">
        <v>0</v>
      </c>
    </row>
    <row r="428" customFormat="false" ht="15" hidden="false" customHeight="false" outlineLevel="0" collapsed="false">
      <c r="A428" s="4" t="s">
        <v>770</v>
      </c>
      <c r="B428" s="4" t="s">
        <v>128</v>
      </c>
      <c r="C428" s="4" t="s">
        <v>314</v>
      </c>
      <c r="D428" s="4" t="n">
        <v>2081294.65</v>
      </c>
      <c r="E428" s="4" t="n">
        <v>0.0836</v>
      </c>
      <c r="F428" s="4" t="n">
        <v>1907359.5</v>
      </c>
      <c r="G428" s="4" t="n">
        <v>1441127.65</v>
      </c>
      <c r="H428" s="4" t="n">
        <v>466231.85</v>
      </c>
      <c r="I428" s="4" t="n">
        <v>0.2444</v>
      </c>
      <c r="J428" s="4" t="n">
        <v>0.935</v>
      </c>
      <c r="K428" s="4" t="n">
        <v>71</v>
      </c>
      <c r="L428" s="4" t="n">
        <v>90</v>
      </c>
      <c r="M428" s="4" t="n">
        <v>2</v>
      </c>
      <c r="N428" s="4" t="n">
        <v>0</v>
      </c>
    </row>
    <row r="429" customFormat="false" ht="15" hidden="false" customHeight="false" outlineLevel="0" collapsed="false">
      <c r="A429" s="4" t="s">
        <v>771</v>
      </c>
      <c r="B429" s="4" t="s">
        <v>136</v>
      </c>
      <c r="C429" s="4" t="s">
        <v>271</v>
      </c>
      <c r="D429" s="4" t="n">
        <v>1374328.06</v>
      </c>
      <c r="E429" s="4" t="n">
        <v>0.0553</v>
      </c>
      <c r="F429" s="4" t="n">
        <v>1298294.97</v>
      </c>
      <c r="G429" s="4" t="n">
        <v>1059005.52</v>
      </c>
      <c r="H429" s="4" t="n">
        <v>239289.45</v>
      </c>
      <c r="I429" s="4" t="n">
        <v>0.1843</v>
      </c>
      <c r="J429" s="4" t="n">
        <v>1.131</v>
      </c>
      <c r="K429" s="4" t="n">
        <v>77</v>
      </c>
      <c r="L429" s="4" t="n">
        <v>90</v>
      </c>
      <c r="M429" s="4" t="n">
        <v>2</v>
      </c>
      <c r="N429" s="4" t="n">
        <v>1</v>
      </c>
    </row>
    <row r="430" customFormat="false" ht="15" hidden="false" customHeight="false" outlineLevel="0" collapsed="false">
      <c r="A430" s="4" t="s">
        <v>772</v>
      </c>
      <c r="B430" s="4" t="s">
        <v>216</v>
      </c>
      <c r="C430" s="4" t="s">
        <v>274</v>
      </c>
      <c r="D430" s="4" t="n">
        <v>1774866.6</v>
      </c>
      <c r="E430" s="4" t="n">
        <v>0.0805</v>
      </c>
      <c r="F430" s="4" t="n">
        <v>1632064.97</v>
      </c>
      <c r="G430" s="4" t="n">
        <v>1396444.3</v>
      </c>
      <c r="H430" s="4" t="n">
        <v>235620.67</v>
      </c>
      <c r="I430" s="4" t="n">
        <v>0.1444</v>
      </c>
      <c r="J430" s="4" t="n">
        <v>0.971</v>
      </c>
      <c r="K430" s="4" t="n">
        <v>64</v>
      </c>
      <c r="L430" s="4" t="n">
        <v>45</v>
      </c>
      <c r="M430" s="4" t="n">
        <v>4</v>
      </c>
      <c r="N430" s="4" t="n">
        <v>1</v>
      </c>
    </row>
    <row r="431" customFormat="false" ht="15" hidden="false" customHeight="false" outlineLevel="0" collapsed="false">
      <c r="A431" s="4" t="s">
        <v>773</v>
      </c>
      <c r="B431" s="4" t="s">
        <v>84</v>
      </c>
      <c r="C431" s="4" t="s">
        <v>306</v>
      </c>
      <c r="D431" s="4" t="n">
        <v>93719.35</v>
      </c>
      <c r="E431" s="4" t="n">
        <v>0.0832</v>
      </c>
      <c r="F431" s="4" t="n">
        <v>85924.82</v>
      </c>
      <c r="G431" s="4" t="n">
        <v>65105.98</v>
      </c>
      <c r="H431" s="4" t="n">
        <v>20818.84</v>
      </c>
      <c r="I431" s="4" t="n">
        <v>0.2423</v>
      </c>
      <c r="J431" s="4" t="n">
        <v>0.988</v>
      </c>
      <c r="K431" s="4" t="n">
        <v>54</v>
      </c>
      <c r="L431" s="4" t="n">
        <v>30</v>
      </c>
      <c r="M431" s="4" t="n">
        <v>0</v>
      </c>
      <c r="N431" s="4" t="n">
        <v>0</v>
      </c>
    </row>
    <row r="432" customFormat="false" ht="15" hidden="false" customHeight="false" outlineLevel="0" collapsed="false">
      <c r="A432" s="4" t="s">
        <v>774</v>
      </c>
      <c r="B432" s="4" t="s">
        <v>116</v>
      </c>
      <c r="C432" s="4" t="s">
        <v>274</v>
      </c>
      <c r="D432" s="4" t="n">
        <v>1774866.6</v>
      </c>
      <c r="E432" s="4" t="n">
        <v>0.149</v>
      </c>
      <c r="F432" s="4" t="n">
        <v>1510426.93</v>
      </c>
      <c r="G432" s="4" t="n">
        <v>1396444.3</v>
      </c>
      <c r="H432" s="4" t="n">
        <v>113982.63</v>
      </c>
      <c r="I432" s="4" t="n">
        <v>0.0755</v>
      </c>
      <c r="J432" s="4" t="n">
        <v>1.065</v>
      </c>
      <c r="K432" s="4" t="n">
        <v>59</v>
      </c>
      <c r="L432" s="4" t="n">
        <v>30</v>
      </c>
      <c r="M432" s="4" t="n">
        <v>6</v>
      </c>
      <c r="N432" s="4" t="n">
        <v>0</v>
      </c>
    </row>
    <row r="433" customFormat="false" ht="15" hidden="false" customHeight="false" outlineLevel="0" collapsed="false">
      <c r="A433" s="4" t="s">
        <v>775</v>
      </c>
      <c r="B433" s="4" t="s">
        <v>69</v>
      </c>
      <c r="C433" s="4" t="s">
        <v>274</v>
      </c>
      <c r="D433" s="4" t="n">
        <v>1774866.6</v>
      </c>
      <c r="E433" s="4" t="n">
        <v>0.0841</v>
      </c>
      <c r="F433" s="4" t="n">
        <v>1625600.24</v>
      </c>
      <c r="G433" s="4" t="n">
        <v>1396444.3</v>
      </c>
      <c r="H433" s="4" t="n">
        <v>229155.94</v>
      </c>
      <c r="I433" s="4" t="n">
        <v>0.141</v>
      </c>
      <c r="J433" s="4" t="n">
        <v>1.02</v>
      </c>
      <c r="K433" s="4" t="n">
        <v>75</v>
      </c>
      <c r="L433" s="4" t="n">
        <v>30</v>
      </c>
      <c r="M433" s="4" t="n">
        <v>0</v>
      </c>
      <c r="N433" s="4" t="n">
        <v>1</v>
      </c>
    </row>
    <row r="434" customFormat="false" ht="15" hidden="false" customHeight="false" outlineLevel="0" collapsed="false">
      <c r="A434" s="4" t="s">
        <v>776</v>
      </c>
      <c r="B434" s="4" t="s">
        <v>94</v>
      </c>
      <c r="C434" s="4" t="s">
        <v>298</v>
      </c>
      <c r="D434" s="4" t="n">
        <v>4458614.8</v>
      </c>
      <c r="E434" s="4" t="n">
        <v>0.0963</v>
      </c>
      <c r="F434" s="4" t="n">
        <v>4029413.49</v>
      </c>
      <c r="G434" s="4" t="n">
        <v>3366371.75</v>
      </c>
      <c r="H434" s="4" t="n">
        <v>663041.74</v>
      </c>
      <c r="I434" s="4" t="n">
        <v>0.1646</v>
      </c>
      <c r="J434" s="4" t="n">
        <v>0.886</v>
      </c>
      <c r="K434" s="4" t="n">
        <v>95</v>
      </c>
      <c r="L434" s="4" t="n">
        <v>60</v>
      </c>
      <c r="M434" s="4" t="n">
        <v>6</v>
      </c>
      <c r="N434" s="4" t="n">
        <v>1</v>
      </c>
    </row>
    <row r="435" customFormat="false" ht="15" hidden="false" customHeight="false" outlineLevel="0" collapsed="false">
      <c r="A435" s="4" t="s">
        <v>777</v>
      </c>
      <c r="B435" s="4" t="s">
        <v>180</v>
      </c>
      <c r="C435" s="4" t="s">
        <v>318</v>
      </c>
      <c r="D435" s="4" t="n">
        <v>1358034.76</v>
      </c>
      <c r="E435" s="4" t="n">
        <v>0.0572</v>
      </c>
      <c r="F435" s="4" t="n">
        <v>1280377.2</v>
      </c>
      <c r="G435" s="4" t="n">
        <v>1074640.64</v>
      </c>
      <c r="H435" s="4" t="n">
        <v>205736.56</v>
      </c>
      <c r="I435" s="4" t="n">
        <v>0.1607</v>
      </c>
      <c r="J435" s="4" t="n">
        <v>1.014</v>
      </c>
      <c r="K435" s="4" t="n">
        <v>117</v>
      </c>
      <c r="L435" s="4" t="n">
        <v>30</v>
      </c>
      <c r="M435" s="4" t="n">
        <v>9</v>
      </c>
      <c r="N435" s="4" t="n">
        <v>0</v>
      </c>
    </row>
    <row r="436" customFormat="false" ht="15" hidden="false" customHeight="false" outlineLevel="0" collapsed="false">
      <c r="A436" s="4" t="s">
        <v>778</v>
      </c>
      <c r="B436" s="4" t="s">
        <v>124</v>
      </c>
      <c r="C436" s="4" t="s">
        <v>292</v>
      </c>
      <c r="D436" s="4" t="n">
        <v>401272.72</v>
      </c>
      <c r="E436" s="4" t="n">
        <v>0.13</v>
      </c>
      <c r="F436" s="4" t="n">
        <v>349112.21</v>
      </c>
      <c r="G436" s="4" t="n">
        <v>296486.72</v>
      </c>
      <c r="H436" s="4" t="n">
        <v>52625.49</v>
      </c>
      <c r="I436" s="4" t="n">
        <v>0.1507</v>
      </c>
      <c r="J436" s="4" t="n">
        <v>0.88</v>
      </c>
      <c r="K436" s="4" t="n">
        <v>92</v>
      </c>
      <c r="L436" s="4" t="n">
        <v>45</v>
      </c>
      <c r="M436" s="4" t="n">
        <v>0</v>
      </c>
      <c r="N436" s="4" t="n">
        <v>1</v>
      </c>
    </row>
    <row r="437" customFormat="false" ht="15" hidden="false" customHeight="false" outlineLevel="0" collapsed="false">
      <c r="A437" s="4" t="s">
        <v>779</v>
      </c>
      <c r="B437" s="4" t="s">
        <v>224</v>
      </c>
      <c r="C437" s="4" t="s">
        <v>300</v>
      </c>
      <c r="D437" s="4" t="n">
        <v>73132.95</v>
      </c>
      <c r="E437" s="4" t="n">
        <v>0.0861</v>
      </c>
      <c r="F437" s="4" t="n">
        <v>66832.63</v>
      </c>
      <c r="G437" s="4" t="n">
        <v>60488.22</v>
      </c>
      <c r="H437" s="4" t="n">
        <v>6344.41</v>
      </c>
      <c r="I437" s="4" t="n">
        <v>0.0949</v>
      </c>
      <c r="J437" s="4" t="n">
        <v>1.057</v>
      </c>
      <c r="K437" s="4" t="n">
        <v>42</v>
      </c>
      <c r="L437" s="4" t="n">
        <v>30</v>
      </c>
      <c r="M437" s="4" t="n">
        <v>5</v>
      </c>
      <c r="N437" s="4" t="n">
        <v>0</v>
      </c>
    </row>
    <row r="438" customFormat="false" ht="15" hidden="false" customHeight="false" outlineLevel="0" collapsed="false">
      <c r="A438" s="4" t="s">
        <v>780</v>
      </c>
      <c r="B438" s="4" t="s">
        <v>196</v>
      </c>
      <c r="C438" s="4" t="s">
        <v>318</v>
      </c>
      <c r="D438" s="4" t="n">
        <v>2716069.52</v>
      </c>
      <c r="E438" s="4" t="n">
        <v>0.039</v>
      </c>
      <c r="F438" s="4" t="n">
        <v>2610170.97</v>
      </c>
      <c r="G438" s="4" t="n">
        <v>2149281.28</v>
      </c>
      <c r="H438" s="4" t="n">
        <v>460889.69</v>
      </c>
      <c r="I438" s="4" t="n">
        <v>0.1766</v>
      </c>
      <c r="J438" s="4" t="n">
        <v>1.025</v>
      </c>
      <c r="K438" s="4" t="n">
        <v>61</v>
      </c>
      <c r="L438" s="4" t="n">
        <v>60</v>
      </c>
      <c r="M438" s="4" t="n">
        <v>0</v>
      </c>
      <c r="N438" s="4" t="n">
        <v>0</v>
      </c>
    </row>
    <row r="439" customFormat="false" ht="15" hidden="false" customHeight="false" outlineLevel="0" collapsed="false">
      <c r="A439" s="4" t="s">
        <v>781</v>
      </c>
      <c r="B439" s="4" t="s">
        <v>152</v>
      </c>
      <c r="C439" s="4" t="s">
        <v>302</v>
      </c>
      <c r="D439" s="4" t="n">
        <v>17128.08</v>
      </c>
      <c r="E439" s="4" t="n">
        <v>0.1195</v>
      </c>
      <c r="F439" s="4" t="n">
        <v>15081.9</v>
      </c>
      <c r="G439" s="4" t="n">
        <v>13492.71</v>
      </c>
      <c r="H439" s="4" t="n">
        <v>1589.19</v>
      </c>
      <c r="I439" s="4" t="n">
        <v>0.1054</v>
      </c>
      <c r="J439" s="4" t="n">
        <v>0.862</v>
      </c>
      <c r="K439" s="4" t="n">
        <v>10</v>
      </c>
      <c r="L439" s="4" t="n">
        <v>45</v>
      </c>
      <c r="M439" s="4" t="n">
        <v>5</v>
      </c>
      <c r="N439" s="4" t="n">
        <v>0</v>
      </c>
    </row>
    <row r="440" customFormat="false" ht="15" hidden="false" customHeight="false" outlineLevel="0" collapsed="false">
      <c r="A440" s="4" t="s">
        <v>782</v>
      </c>
      <c r="B440" s="4" t="s">
        <v>228</v>
      </c>
      <c r="C440" s="4" t="s">
        <v>290</v>
      </c>
      <c r="D440" s="4" t="n">
        <v>4749.47</v>
      </c>
      <c r="E440" s="4" t="n">
        <v>0.1223</v>
      </c>
      <c r="F440" s="4" t="n">
        <v>4168.57</v>
      </c>
      <c r="G440" s="4" t="n">
        <v>3427.5</v>
      </c>
      <c r="H440" s="4" t="n">
        <v>741.07</v>
      </c>
      <c r="I440" s="4" t="n">
        <v>0.1778</v>
      </c>
      <c r="J440" s="4" t="n">
        <v>0.964</v>
      </c>
      <c r="K440" s="4" t="n">
        <v>51</v>
      </c>
      <c r="L440" s="4" t="n">
        <v>45</v>
      </c>
      <c r="M440" s="4" t="n">
        <v>8</v>
      </c>
      <c r="N440" s="4" t="n">
        <v>1</v>
      </c>
    </row>
    <row r="441" customFormat="false" ht="15" hidden="false" customHeight="false" outlineLevel="0" collapsed="false">
      <c r="A441" s="4" t="s">
        <v>783</v>
      </c>
      <c r="B441" s="4" t="s">
        <v>216</v>
      </c>
      <c r="C441" s="4" t="s">
        <v>306</v>
      </c>
      <c r="D441" s="4" t="n">
        <v>468596.75</v>
      </c>
      <c r="E441" s="4" t="n">
        <v>0.1317</v>
      </c>
      <c r="F441" s="4" t="n">
        <v>406882.64</v>
      </c>
      <c r="G441" s="4" t="n">
        <v>325529.9</v>
      </c>
      <c r="H441" s="4" t="n">
        <v>81352.74</v>
      </c>
      <c r="I441" s="4" t="n">
        <v>0.1999</v>
      </c>
      <c r="J441" s="4" t="n">
        <v>0.963</v>
      </c>
      <c r="K441" s="4" t="n">
        <v>33</v>
      </c>
      <c r="L441" s="4" t="n">
        <v>45</v>
      </c>
      <c r="M441" s="4" t="n">
        <v>3</v>
      </c>
      <c r="N441" s="4" t="n">
        <v>1</v>
      </c>
    </row>
    <row r="442" customFormat="false" ht="15" hidden="false" customHeight="false" outlineLevel="0" collapsed="false">
      <c r="A442" s="4" t="s">
        <v>784</v>
      </c>
      <c r="B442" s="4" t="s">
        <v>158</v>
      </c>
      <c r="C442" s="4" t="s">
        <v>316</v>
      </c>
      <c r="D442" s="4" t="n">
        <v>1792250.5</v>
      </c>
      <c r="E442" s="4" t="n">
        <v>0.0727</v>
      </c>
      <c r="F442" s="4" t="n">
        <v>1662015.15</v>
      </c>
      <c r="G442" s="4" t="n">
        <v>1141138.9</v>
      </c>
      <c r="H442" s="4" t="n">
        <v>520876.25</v>
      </c>
      <c r="I442" s="4" t="n">
        <v>0.3134</v>
      </c>
      <c r="J442" s="4" t="n">
        <v>0.999</v>
      </c>
      <c r="K442" s="4" t="n">
        <v>59</v>
      </c>
      <c r="L442" s="4" t="n">
        <v>30</v>
      </c>
      <c r="M442" s="4" t="n">
        <v>0</v>
      </c>
      <c r="N442" s="4" t="n">
        <v>0</v>
      </c>
    </row>
    <row r="443" customFormat="false" ht="15" hidden="false" customHeight="false" outlineLevel="0" collapsed="false">
      <c r="A443" s="4" t="s">
        <v>785</v>
      </c>
      <c r="B443" s="4" t="s">
        <v>178</v>
      </c>
      <c r="C443" s="4" t="s">
        <v>330</v>
      </c>
      <c r="D443" s="4" t="n">
        <v>43008.96</v>
      </c>
      <c r="E443" s="4" t="n">
        <v>0.1315</v>
      </c>
      <c r="F443" s="4" t="n">
        <v>37351.94</v>
      </c>
      <c r="G443" s="4" t="n">
        <v>31369.64</v>
      </c>
      <c r="H443" s="4" t="n">
        <v>5982.3</v>
      </c>
      <c r="I443" s="4" t="n">
        <v>0.1602</v>
      </c>
      <c r="J443" s="4" t="n">
        <v>0.89</v>
      </c>
      <c r="K443" s="4" t="n">
        <v>50</v>
      </c>
      <c r="L443" s="4" t="n">
        <v>60</v>
      </c>
      <c r="M443" s="4" t="n">
        <v>13</v>
      </c>
      <c r="N443" s="4" t="n">
        <v>0</v>
      </c>
    </row>
    <row r="444" customFormat="false" ht="15" hidden="false" customHeight="false" outlineLevel="0" collapsed="false">
      <c r="A444" s="4" t="s">
        <v>786</v>
      </c>
      <c r="B444" s="4" t="s">
        <v>164</v>
      </c>
      <c r="C444" s="4" t="s">
        <v>320</v>
      </c>
      <c r="D444" s="4" t="n">
        <v>40420.87</v>
      </c>
      <c r="E444" s="4" t="n">
        <v>0.0514</v>
      </c>
      <c r="F444" s="4" t="n">
        <v>38344.49</v>
      </c>
      <c r="G444" s="4" t="n">
        <v>28632.37</v>
      </c>
      <c r="H444" s="4" t="n">
        <v>9712.12</v>
      </c>
      <c r="I444" s="4" t="n">
        <v>0.2533</v>
      </c>
      <c r="J444" s="4" t="n">
        <v>0.98</v>
      </c>
      <c r="K444" s="4" t="n">
        <v>75</v>
      </c>
      <c r="L444" s="4" t="n">
        <v>30</v>
      </c>
      <c r="M444" s="4" t="n">
        <v>0</v>
      </c>
      <c r="N444" s="4" t="n">
        <v>1</v>
      </c>
    </row>
    <row r="445" customFormat="false" ht="15" hidden="false" customHeight="false" outlineLevel="0" collapsed="false">
      <c r="A445" s="4" t="s">
        <v>787</v>
      </c>
      <c r="B445" s="4" t="s">
        <v>172</v>
      </c>
      <c r="C445" s="4" t="s">
        <v>324</v>
      </c>
      <c r="D445" s="4" t="n">
        <v>180516.55</v>
      </c>
      <c r="E445" s="4" t="n">
        <v>0.0469</v>
      </c>
      <c r="F445" s="4" t="n">
        <v>172046.71</v>
      </c>
      <c r="G445" s="4" t="n">
        <v>132661.7</v>
      </c>
      <c r="H445" s="4" t="n">
        <v>39385.01</v>
      </c>
      <c r="I445" s="4" t="n">
        <v>0.2289</v>
      </c>
      <c r="J445" s="4" t="n">
        <v>0.871</v>
      </c>
      <c r="K445" s="4" t="n">
        <v>45</v>
      </c>
      <c r="L445" s="4" t="n">
        <v>30</v>
      </c>
      <c r="M445" s="4" t="n">
        <v>0</v>
      </c>
      <c r="N445" s="4" t="n">
        <v>0</v>
      </c>
    </row>
    <row r="446" customFormat="false" ht="15" hidden="false" customHeight="false" outlineLevel="0" collapsed="false">
      <c r="A446" s="4" t="s">
        <v>788</v>
      </c>
      <c r="B446" s="4" t="s">
        <v>98</v>
      </c>
      <c r="C446" s="4" t="s">
        <v>276</v>
      </c>
      <c r="D446" s="4" t="n">
        <v>194512</v>
      </c>
      <c r="E446" s="4" t="n">
        <v>0.0389</v>
      </c>
      <c r="F446" s="4" t="n">
        <v>186953.06</v>
      </c>
      <c r="G446" s="4" t="n">
        <v>129137.32</v>
      </c>
      <c r="H446" s="4" t="n">
        <v>57815.74</v>
      </c>
      <c r="I446" s="4" t="n">
        <v>0.3093</v>
      </c>
      <c r="J446" s="4" t="n">
        <v>0.877</v>
      </c>
      <c r="K446" s="4" t="n">
        <v>37</v>
      </c>
      <c r="L446" s="4" t="n">
        <v>30</v>
      </c>
      <c r="M446" s="4" t="n">
        <v>5</v>
      </c>
      <c r="N446" s="4" t="n">
        <v>1</v>
      </c>
    </row>
    <row r="447" customFormat="false" ht="15" hidden="false" customHeight="false" outlineLevel="0" collapsed="false">
      <c r="A447" s="4" t="s">
        <v>789</v>
      </c>
      <c r="B447" s="4" t="s">
        <v>84</v>
      </c>
      <c r="C447" s="4" t="s">
        <v>306</v>
      </c>
      <c r="D447" s="4" t="n">
        <v>93719.35</v>
      </c>
      <c r="E447" s="4" t="n">
        <v>0.0626</v>
      </c>
      <c r="F447" s="4" t="n">
        <v>87850.44</v>
      </c>
      <c r="G447" s="4" t="n">
        <v>65105.98</v>
      </c>
      <c r="H447" s="4" t="n">
        <v>22744.46</v>
      </c>
      <c r="I447" s="4" t="n">
        <v>0.2589</v>
      </c>
      <c r="J447" s="4" t="n">
        <v>1.002</v>
      </c>
      <c r="K447" s="4" t="n">
        <v>53</v>
      </c>
      <c r="L447" s="4" t="n">
        <v>30</v>
      </c>
      <c r="M447" s="4" t="n">
        <v>11</v>
      </c>
      <c r="N447" s="4" t="n">
        <v>0</v>
      </c>
    </row>
    <row r="448" customFormat="false" ht="15" hidden="false" customHeight="false" outlineLevel="0" collapsed="false">
      <c r="A448" s="4" t="s">
        <v>790</v>
      </c>
      <c r="B448" s="4" t="s">
        <v>136</v>
      </c>
      <c r="C448" s="4" t="s">
        <v>296</v>
      </c>
      <c r="D448" s="4" t="n">
        <v>1031419.21</v>
      </c>
      <c r="E448" s="4" t="n">
        <v>0.0112</v>
      </c>
      <c r="F448" s="4" t="n">
        <v>1019861.72</v>
      </c>
      <c r="G448" s="4" t="n">
        <v>633237.02</v>
      </c>
      <c r="H448" s="4" t="n">
        <v>386624.7</v>
      </c>
      <c r="I448" s="4" t="n">
        <v>0.3791</v>
      </c>
      <c r="J448" s="4" t="n">
        <v>0.949</v>
      </c>
      <c r="K448" s="4" t="n">
        <v>49</v>
      </c>
      <c r="L448" s="4" t="n">
        <v>120</v>
      </c>
      <c r="M448" s="4" t="n">
        <v>0</v>
      </c>
      <c r="N448" s="4" t="n">
        <v>1</v>
      </c>
    </row>
    <row r="449" customFormat="false" ht="15" hidden="false" customHeight="false" outlineLevel="0" collapsed="false">
      <c r="A449" s="4" t="s">
        <v>791</v>
      </c>
      <c r="B449" s="4" t="s">
        <v>146</v>
      </c>
      <c r="C449" s="4" t="s">
        <v>318</v>
      </c>
      <c r="D449" s="4" t="n">
        <v>679017.38</v>
      </c>
      <c r="E449" s="4" t="n">
        <v>0.1174</v>
      </c>
      <c r="F449" s="4" t="n">
        <v>599288</v>
      </c>
      <c r="G449" s="4" t="n">
        <v>537320.32</v>
      </c>
      <c r="H449" s="4" t="n">
        <v>61967.68</v>
      </c>
      <c r="I449" s="4" t="n">
        <v>0.1034</v>
      </c>
      <c r="J449" s="4" t="n">
        <v>0.93</v>
      </c>
      <c r="K449" s="4" t="n">
        <v>61</v>
      </c>
      <c r="L449" s="4" t="n">
        <v>30</v>
      </c>
      <c r="M449" s="4" t="n">
        <v>0</v>
      </c>
      <c r="N449" s="4" t="n">
        <v>1</v>
      </c>
    </row>
    <row r="450" customFormat="false" ht="15" hidden="false" customHeight="false" outlineLevel="0" collapsed="false">
      <c r="A450" s="4" t="s">
        <v>792</v>
      </c>
      <c r="B450" s="4" t="s">
        <v>144</v>
      </c>
      <c r="C450" s="4" t="s">
        <v>265</v>
      </c>
      <c r="D450" s="4" t="n">
        <v>383331.4</v>
      </c>
      <c r="E450" s="4" t="n">
        <v>0.0965</v>
      </c>
      <c r="F450" s="4" t="n">
        <v>346333.49</v>
      </c>
      <c r="G450" s="4" t="n">
        <v>271504.66</v>
      </c>
      <c r="H450" s="4" t="n">
        <v>74828.83</v>
      </c>
      <c r="I450" s="4" t="n">
        <v>0.2161</v>
      </c>
      <c r="J450" s="4" t="n">
        <v>0.892</v>
      </c>
      <c r="K450" s="4" t="n">
        <v>36</v>
      </c>
      <c r="L450" s="4" t="n">
        <v>30</v>
      </c>
      <c r="M450" s="4" t="n">
        <v>0</v>
      </c>
      <c r="N450" s="4" t="n">
        <v>1</v>
      </c>
    </row>
    <row r="451" customFormat="false" ht="15" hidden="false" customHeight="false" outlineLevel="0" collapsed="false">
      <c r="A451" s="4" t="s">
        <v>793</v>
      </c>
      <c r="B451" s="4" t="s">
        <v>224</v>
      </c>
      <c r="C451" s="4" t="s">
        <v>330</v>
      </c>
      <c r="D451" s="4" t="n">
        <v>21504.48</v>
      </c>
      <c r="E451" s="4" t="n">
        <v>0.1241</v>
      </c>
      <c r="F451" s="4" t="n">
        <v>18834.7</v>
      </c>
      <c r="G451" s="4" t="n">
        <v>15684.82</v>
      </c>
      <c r="H451" s="4" t="n">
        <v>3149.88</v>
      </c>
      <c r="I451" s="4" t="n">
        <v>0.1672</v>
      </c>
      <c r="J451" s="4" t="n">
        <v>0.912</v>
      </c>
      <c r="K451" s="4" t="n">
        <v>49</v>
      </c>
      <c r="L451" s="4" t="n">
        <v>90</v>
      </c>
      <c r="M451" s="4" t="n">
        <v>3</v>
      </c>
      <c r="N451" s="4" t="n">
        <v>1</v>
      </c>
    </row>
    <row r="452" customFormat="false" ht="15" hidden="false" customHeight="false" outlineLevel="0" collapsed="false">
      <c r="A452" s="4" t="s">
        <v>794</v>
      </c>
      <c r="B452" s="4" t="s">
        <v>184</v>
      </c>
      <c r="C452" s="4" t="s">
        <v>298</v>
      </c>
      <c r="D452" s="4" t="n">
        <v>3566891.84</v>
      </c>
      <c r="E452" s="4" t="n">
        <v>0.0943</v>
      </c>
      <c r="F452" s="4" t="n">
        <v>3230523.31</v>
      </c>
      <c r="G452" s="4" t="n">
        <v>2693097.4</v>
      </c>
      <c r="H452" s="4" t="n">
        <v>537425.91</v>
      </c>
      <c r="I452" s="4" t="n">
        <v>0.1664</v>
      </c>
      <c r="J452" s="4" t="n">
        <v>1.127</v>
      </c>
      <c r="K452" s="4" t="n">
        <v>56</v>
      </c>
      <c r="L452" s="4" t="n">
        <v>30</v>
      </c>
      <c r="M452" s="4" t="n">
        <v>8</v>
      </c>
      <c r="N452" s="4" t="n">
        <v>1</v>
      </c>
    </row>
    <row r="453" customFormat="false" ht="15" hidden="false" customHeight="false" outlineLevel="0" collapsed="false">
      <c r="A453" s="4" t="s">
        <v>795</v>
      </c>
      <c r="B453" s="4" t="s">
        <v>208</v>
      </c>
      <c r="C453" s="4" t="s">
        <v>330</v>
      </c>
      <c r="D453" s="4" t="n">
        <v>43008.96</v>
      </c>
      <c r="E453" s="4" t="n">
        <v>0.0488</v>
      </c>
      <c r="F453" s="4" t="n">
        <v>40909.25</v>
      </c>
      <c r="G453" s="4" t="n">
        <v>31369.64</v>
      </c>
      <c r="H453" s="4" t="n">
        <v>9539.61</v>
      </c>
      <c r="I453" s="4" t="n">
        <v>0.2332</v>
      </c>
      <c r="J453" s="4" t="n">
        <v>0.932</v>
      </c>
      <c r="K453" s="4" t="n">
        <v>58</v>
      </c>
      <c r="L453" s="4" t="n">
        <v>45</v>
      </c>
      <c r="M453" s="4" t="n">
        <v>11</v>
      </c>
      <c r="N453" s="4" t="n">
        <v>1</v>
      </c>
    </row>
    <row r="454" customFormat="false" ht="15" hidden="false" customHeight="false" outlineLevel="0" collapsed="false">
      <c r="A454" s="4" t="s">
        <v>796</v>
      </c>
      <c r="B454" s="4" t="s">
        <v>172</v>
      </c>
      <c r="C454" s="4" t="s">
        <v>326</v>
      </c>
      <c r="D454" s="4" t="n">
        <v>169724.64</v>
      </c>
      <c r="E454" s="4" t="n">
        <v>0.091</v>
      </c>
      <c r="F454" s="4" t="n">
        <v>154274.69</v>
      </c>
      <c r="G454" s="4" t="n">
        <v>109450.96</v>
      </c>
      <c r="H454" s="4" t="n">
        <v>44823.73</v>
      </c>
      <c r="I454" s="4" t="n">
        <v>0.2905</v>
      </c>
      <c r="J454" s="4" t="n">
        <v>1.002</v>
      </c>
      <c r="K454" s="4" t="n">
        <v>63</v>
      </c>
      <c r="L454" s="4" t="n">
        <v>60</v>
      </c>
      <c r="M454" s="4" t="n">
        <v>8</v>
      </c>
      <c r="N454" s="4" t="n">
        <v>1</v>
      </c>
    </row>
    <row r="455" customFormat="false" ht="15" hidden="false" customHeight="false" outlineLevel="0" collapsed="false">
      <c r="A455" s="4" t="s">
        <v>797</v>
      </c>
      <c r="B455" s="4" t="s">
        <v>220</v>
      </c>
      <c r="C455" s="4" t="s">
        <v>314</v>
      </c>
      <c r="D455" s="4" t="n">
        <v>1248776.79</v>
      </c>
      <c r="E455" s="4" t="n">
        <v>0.0619</v>
      </c>
      <c r="F455" s="4" t="n">
        <v>1171539.62</v>
      </c>
      <c r="G455" s="4" t="n">
        <v>864676.59</v>
      </c>
      <c r="H455" s="4" t="n">
        <v>306863.03</v>
      </c>
      <c r="I455" s="4" t="n">
        <v>0.2619</v>
      </c>
      <c r="J455" s="4" t="n">
        <v>0.992</v>
      </c>
      <c r="K455" s="4" t="n">
        <v>44</v>
      </c>
      <c r="L455" s="4" t="n">
        <v>30</v>
      </c>
      <c r="M455" s="4" t="n">
        <v>7</v>
      </c>
      <c r="N455" s="4" t="n">
        <v>0</v>
      </c>
    </row>
    <row r="456" customFormat="false" ht="15" hidden="false" customHeight="false" outlineLevel="0" collapsed="false">
      <c r="A456" s="4" t="s">
        <v>798</v>
      </c>
      <c r="B456" s="4" t="s">
        <v>100</v>
      </c>
      <c r="C456" s="4" t="s">
        <v>279</v>
      </c>
      <c r="D456" s="4" t="n">
        <v>108127.96</v>
      </c>
      <c r="E456" s="4" t="n">
        <v>0.0055</v>
      </c>
      <c r="F456" s="4" t="n">
        <v>107528.23</v>
      </c>
      <c r="G456" s="4" t="n">
        <v>91012.58</v>
      </c>
      <c r="H456" s="4" t="n">
        <v>16515.65</v>
      </c>
      <c r="I456" s="4" t="n">
        <v>0.1536</v>
      </c>
      <c r="J456" s="4" t="n">
        <v>0.996</v>
      </c>
      <c r="K456" s="4" t="n">
        <v>65</v>
      </c>
      <c r="L456" s="4" t="n">
        <v>30</v>
      </c>
      <c r="M456" s="4" t="n">
        <v>2</v>
      </c>
      <c r="N456" s="4" t="n">
        <v>1</v>
      </c>
    </row>
    <row r="457" customFormat="false" ht="15" hidden="false" customHeight="false" outlineLevel="0" collapsed="false">
      <c r="A457" s="4" t="s">
        <v>799</v>
      </c>
      <c r="B457" s="4" t="s">
        <v>232</v>
      </c>
      <c r="C457" s="4" t="s">
        <v>304</v>
      </c>
      <c r="D457" s="4" t="n">
        <v>164831.9</v>
      </c>
      <c r="E457" s="4" t="n">
        <v>0.0232</v>
      </c>
      <c r="F457" s="4" t="n">
        <v>161000.01</v>
      </c>
      <c r="G457" s="4" t="n">
        <v>125364.2</v>
      </c>
      <c r="H457" s="4" t="n">
        <v>35635.81</v>
      </c>
      <c r="I457" s="4" t="n">
        <v>0.2213</v>
      </c>
      <c r="J457" s="4" t="n">
        <v>0.887</v>
      </c>
      <c r="K457" s="4" t="n">
        <v>82</v>
      </c>
      <c r="L457" s="4" t="n">
        <v>90</v>
      </c>
      <c r="M457" s="4" t="n">
        <v>6</v>
      </c>
      <c r="N457" s="4" t="n">
        <v>0</v>
      </c>
    </row>
    <row r="458" customFormat="false" ht="15" hidden="false" customHeight="false" outlineLevel="0" collapsed="false">
      <c r="A458" s="4" t="s">
        <v>800</v>
      </c>
      <c r="B458" s="4" t="s">
        <v>214</v>
      </c>
      <c r="C458" s="4" t="s">
        <v>281</v>
      </c>
      <c r="D458" s="4" t="n">
        <v>99391.65</v>
      </c>
      <c r="E458" s="4" t="n">
        <v>0.0494</v>
      </c>
      <c r="F458" s="4" t="n">
        <v>94478.28</v>
      </c>
      <c r="G458" s="4" t="n">
        <v>79138.1</v>
      </c>
      <c r="H458" s="4" t="n">
        <v>15340.18</v>
      </c>
      <c r="I458" s="4" t="n">
        <v>0.1624</v>
      </c>
      <c r="J458" s="4" t="n">
        <v>1.139</v>
      </c>
      <c r="K458" s="4" t="n">
        <v>70</v>
      </c>
      <c r="L458" s="4" t="n">
        <v>30</v>
      </c>
      <c r="M458" s="4" t="n">
        <v>0</v>
      </c>
      <c r="N458" s="4" t="n">
        <v>0</v>
      </c>
    </row>
    <row r="459" customFormat="false" ht="15" hidden="false" customHeight="false" outlineLevel="0" collapsed="false">
      <c r="A459" s="4" t="s">
        <v>801</v>
      </c>
      <c r="B459" s="4" t="s">
        <v>138</v>
      </c>
      <c r="C459" s="4" t="s">
        <v>330</v>
      </c>
      <c r="D459" s="4" t="n">
        <v>43008.96</v>
      </c>
      <c r="E459" s="4" t="n">
        <v>0.1195</v>
      </c>
      <c r="F459" s="4" t="n">
        <v>37870.09</v>
      </c>
      <c r="G459" s="4" t="n">
        <v>31369.64</v>
      </c>
      <c r="H459" s="4" t="n">
        <v>6500.45</v>
      </c>
      <c r="I459" s="4" t="n">
        <v>0.1717</v>
      </c>
      <c r="J459" s="4" t="n">
        <v>0.924</v>
      </c>
      <c r="K459" s="4" t="n">
        <v>67</v>
      </c>
      <c r="L459" s="4" t="n">
        <v>30</v>
      </c>
      <c r="M459" s="4" t="n">
        <v>5</v>
      </c>
      <c r="N459" s="4" t="n">
        <v>0</v>
      </c>
    </row>
    <row r="460" customFormat="false" ht="15" hidden="false" customHeight="false" outlineLevel="0" collapsed="false">
      <c r="A460" s="4" t="s">
        <v>802</v>
      </c>
      <c r="B460" s="4" t="s">
        <v>110</v>
      </c>
      <c r="C460" s="4" t="s">
        <v>302</v>
      </c>
      <c r="D460" s="4" t="n">
        <v>85640.4</v>
      </c>
      <c r="E460" s="4" t="n">
        <v>0.1583</v>
      </c>
      <c r="F460" s="4" t="n">
        <v>72087.55</v>
      </c>
      <c r="G460" s="4" t="n">
        <v>67463.55</v>
      </c>
      <c r="H460" s="4" t="n">
        <v>4624</v>
      </c>
      <c r="I460" s="4" t="n">
        <v>0.0641</v>
      </c>
      <c r="J460" s="4" t="n">
        <v>1.028</v>
      </c>
      <c r="K460" s="4" t="n">
        <v>59</v>
      </c>
      <c r="L460" s="4" t="n">
        <v>30</v>
      </c>
      <c r="M460" s="4" t="n">
        <v>12</v>
      </c>
      <c r="N460" s="4" t="n">
        <v>1</v>
      </c>
    </row>
    <row r="461" customFormat="false" ht="15" hidden="false" customHeight="false" outlineLevel="0" collapsed="false">
      <c r="A461" s="4" t="s">
        <v>803</v>
      </c>
      <c r="B461" s="4" t="s">
        <v>178</v>
      </c>
      <c r="C461" s="4" t="s">
        <v>328</v>
      </c>
      <c r="D461" s="4" t="n">
        <v>71384.82</v>
      </c>
      <c r="E461" s="4" t="n">
        <v>0.0114</v>
      </c>
      <c r="F461" s="4" t="n">
        <v>70570.88</v>
      </c>
      <c r="G461" s="4" t="n">
        <v>46750.65</v>
      </c>
      <c r="H461" s="4" t="n">
        <v>23820.23</v>
      </c>
      <c r="I461" s="4" t="n">
        <v>0.3375</v>
      </c>
      <c r="J461" s="4" t="n">
        <v>1.09</v>
      </c>
      <c r="K461" s="4" t="n">
        <v>101</v>
      </c>
      <c r="L461" s="4" t="n">
        <v>30</v>
      </c>
      <c r="M461" s="4" t="n">
        <v>0</v>
      </c>
      <c r="N461" s="4" t="n">
        <v>0</v>
      </c>
    </row>
    <row r="462" customFormat="false" ht="15" hidden="false" customHeight="false" outlineLevel="0" collapsed="false">
      <c r="A462" s="4" t="s">
        <v>804</v>
      </c>
      <c r="B462" s="4" t="s">
        <v>222</v>
      </c>
      <c r="C462" s="4" t="s">
        <v>279</v>
      </c>
      <c r="D462" s="4" t="n">
        <v>162191.94</v>
      </c>
      <c r="E462" s="4" t="n">
        <v>0.1038</v>
      </c>
      <c r="F462" s="4" t="n">
        <v>145351.74</v>
      </c>
      <c r="G462" s="4" t="n">
        <v>136518.87</v>
      </c>
      <c r="H462" s="4" t="n">
        <v>8832.87</v>
      </c>
      <c r="I462" s="4" t="n">
        <v>0.0608</v>
      </c>
      <c r="J462" s="4" t="n">
        <v>1.02</v>
      </c>
      <c r="K462" s="4" t="n">
        <v>50</v>
      </c>
      <c r="L462" s="4" t="n">
        <v>45</v>
      </c>
      <c r="M462" s="4" t="n">
        <v>6</v>
      </c>
      <c r="N462" s="4" t="n">
        <v>1</v>
      </c>
    </row>
    <row r="463" customFormat="false" ht="15" hidden="false" customHeight="false" outlineLevel="0" collapsed="false">
      <c r="A463" s="4" t="s">
        <v>805</v>
      </c>
      <c r="B463" s="4" t="s">
        <v>170</v>
      </c>
      <c r="C463" s="4" t="s">
        <v>316</v>
      </c>
      <c r="D463" s="4" t="n">
        <v>1792250.5</v>
      </c>
      <c r="E463" s="4" t="n">
        <v>0.0904</v>
      </c>
      <c r="F463" s="4" t="n">
        <v>1630281.52</v>
      </c>
      <c r="G463" s="4" t="n">
        <v>1141138.9</v>
      </c>
      <c r="H463" s="4" t="n">
        <v>489142.62</v>
      </c>
      <c r="I463" s="4" t="n">
        <v>0.3</v>
      </c>
      <c r="J463" s="4" t="n">
        <v>1.027</v>
      </c>
      <c r="K463" s="4" t="n">
        <v>56</v>
      </c>
      <c r="L463" s="4" t="n">
        <v>30</v>
      </c>
      <c r="M463" s="4" t="n">
        <v>6</v>
      </c>
      <c r="N463" s="4" t="n">
        <v>0</v>
      </c>
    </row>
    <row r="464" customFormat="false" ht="15" hidden="false" customHeight="false" outlineLevel="0" collapsed="false">
      <c r="A464" s="4" t="s">
        <v>806</v>
      </c>
      <c r="B464" s="4" t="s">
        <v>47</v>
      </c>
      <c r="C464" s="4" t="s">
        <v>304</v>
      </c>
      <c r="D464" s="4" t="n">
        <v>82415.95</v>
      </c>
      <c r="E464" s="4" t="n">
        <v>0.0604</v>
      </c>
      <c r="F464" s="4" t="n">
        <v>77437.29</v>
      </c>
      <c r="G464" s="4" t="n">
        <v>62682.1</v>
      </c>
      <c r="H464" s="4" t="n">
        <v>14755.19</v>
      </c>
      <c r="I464" s="4" t="n">
        <v>0.1905</v>
      </c>
      <c r="J464" s="4" t="n">
        <v>1.045</v>
      </c>
      <c r="K464" s="4" t="n">
        <v>72</v>
      </c>
      <c r="L464" s="4" t="n">
        <v>60</v>
      </c>
      <c r="M464" s="4" t="n">
        <v>4</v>
      </c>
      <c r="N464" s="4" t="n">
        <v>1</v>
      </c>
    </row>
    <row r="465" customFormat="false" ht="15" hidden="false" customHeight="false" outlineLevel="0" collapsed="false">
      <c r="A465" s="4" t="s">
        <v>807</v>
      </c>
      <c r="B465" s="4" t="s">
        <v>190</v>
      </c>
      <c r="C465" s="4" t="s">
        <v>324</v>
      </c>
      <c r="D465" s="4" t="n">
        <v>144413.24</v>
      </c>
      <c r="E465" s="4" t="n">
        <v>0.1735</v>
      </c>
      <c r="F465" s="4" t="n">
        <v>119353.64</v>
      </c>
      <c r="G465" s="4" t="n">
        <v>106129.36</v>
      </c>
      <c r="H465" s="4" t="n">
        <v>13224.28</v>
      </c>
      <c r="I465" s="4" t="n">
        <v>0.1108</v>
      </c>
      <c r="J465" s="4" t="n">
        <v>0.885</v>
      </c>
      <c r="K465" s="4" t="n">
        <v>68</v>
      </c>
      <c r="L465" s="4" t="n">
        <v>30</v>
      </c>
      <c r="M465" s="4" t="n">
        <v>8</v>
      </c>
      <c r="N465" s="4" t="n">
        <v>0</v>
      </c>
    </row>
    <row r="466" customFormat="false" ht="15" hidden="false" customHeight="false" outlineLevel="0" collapsed="false">
      <c r="A466" s="4" t="s">
        <v>808</v>
      </c>
      <c r="B466" s="4" t="s">
        <v>122</v>
      </c>
      <c r="C466" s="4" t="s">
        <v>279</v>
      </c>
      <c r="D466" s="4" t="n">
        <v>162191.94</v>
      </c>
      <c r="E466" s="4" t="n">
        <v>0.0812</v>
      </c>
      <c r="F466" s="4" t="n">
        <v>149020.57</v>
      </c>
      <c r="G466" s="4" t="n">
        <v>136518.87</v>
      </c>
      <c r="H466" s="4" t="n">
        <v>12501.7</v>
      </c>
      <c r="I466" s="4" t="n">
        <v>0.0839</v>
      </c>
      <c r="J466" s="4" t="n">
        <v>0.955</v>
      </c>
      <c r="K466" s="4" t="n">
        <v>46</v>
      </c>
      <c r="L466" s="4" t="n">
        <v>120</v>
      </c>
      <c r="M466" s="4" t="n">
        <v>7</v>
      </c>
      <c r="N466" s="4" t="n">
        <v>0</v>
      </c>
    </row>
    <row r="467" customFormat="false" ht="15" hidden="false" customHeight="false" outlineLevel="0" collapsed="false">
      <c r="A467" s="4" t="s">
        <v>809</v>
      </c>
      <c r="B467" s="4" t="s">
        <v>176</v>
      </c>
      <c r="C467" s="4" t="s">
        <v>328</v>
      </c>
      <c r="D467" s="4" t="n">
        <v>23794.94</v>
      </c>
      <c r="E467" s="4" t="n">
        <v>0.0915</v>
      </c>
      <c r="F467" s="4" t="n">
        <v>21618.01</v>
      </c>
      <c r="G467" s="4" t="n">
        <v>15583.55</v>
      </c>
      <c r="H467" s="4" t="n">
        <v>6034.46</v>
      </c>
      <c r="I467" s="4" t="n">
        <v>0.2791</v>
      </c>
      <c r="J467" s="4" t="n">
        <v>0.929</v>
      </c>
      <c r="K467" s="4" t="n">
        <v>54</v>
      </c>
      <c r="L467" s="4" t="n">
        <v>45</v>
      </c>
      <c r="M467" s="4" t="n">
        <v>2</v>
      </c>
      <c r="N467" s="4" t="n">
        <v>0</v>
      </c>
    </row>
    <row r="468" customFormat="false" ht="15" hidden="false" customHeight="false" outlineLevel="0" collapsed="false">
      <c r="A468" s="4" t="s">
        <v>810</v>
      </c>
      <c r="B468" s="4" t="s">
        <v>170</v>
      </c>
      <c r="C468" s="4" t="s">
        <v>268</v>
      </c>
      <c r="D468" s="4" t="n">
        <v>1663660.12</v>
      </c>
      <c r="E468" s="4" t="n">
        <v>0.0244</v>
      </c>
      <c r="F468" s="4" t="n">
        <v>1623027.38</v>
      </c>
      <c r="G468" s="4" t="n">
        <v>1324069.32</v>
      </c>
      <c r="H468" s="4" t="n">
        <v>298958.06</v>
      </c>
      <c r="I468" s="4" t="n">
        <v>0.1842</v>
      </c>
      <c r="J468" s="4" t="n">
        <v>1.034</v>
      </c>
      <c r="K468" s="4" t="n">
        <v>43</v>
      </c>
      <c r="L468" s="4" t="n">
        <v>30</v>
      </c>
      <c r="M468" s="4" t="n">
        <v>4</v>
      </c>
      <c r="N468" s="4" t="n">
        <v>1</v>
      </c>
    </row>
    <row r="469" customFormat="false" ht="15" hidden="false" customHeight="false" outlineLevel="0" collapsed="false">
      <c r="A469" s="4" t="s">
        <v>811</v>
      </c>
      <c r="B469" s="4" t="s">
        <v>140</v>
      </c>
      <c r="C469" s="4" t="s">
        <v>290</v>
      </c>
      <c r="D469" s="4" t="n">
        <v>14248.41</v>
      </c>
      <c r="E469" s="4" t="n">
        <v>0.1382</v>
      </c>
      <c r="F469" s="4" t="n">
        <v>12278.97</v>
      </c>
      <c r="G469" s="4" t="n">
        <v>10282.5</v>
      </c>
      <c r="H469" s="4" t="n">
        <v>1996.47</v>
      </c>
      <c r="I469" s="4" t="n">
        <v>0.1626</v>
      </c>
      <c r="J469" s="4" t="n">
        <v>1.028</v>
      </c>
      <c r="K469" s="4" t="n">
        <v>41</v>
      </c>
      <c r="L469" s="4" t="n">
        <v>30</v>
      </c>
      <c r="M469" s="4" t="n">
        <v>0</v>
      </c>
      <c r="N469" s="4" t="n">
        <v>1</v>
      </c>
    </row>
    <row r="470" customFormat="false" ht="15" hidden="false" customHeight="false" outlineLevel="0" collapsed="false">
      <c r="A470" s="4" t="s">
        <v>812</v>
      </c>
      <c r="B470" s="4" t="s">
        <v>53</v>
      </c>
      <c r="C470" s="4" t="s">
        <v>304</v>
      </c>
      <c r="D470" s="4" t="n">
        <v>247247.85</v>
      </c>
      <c r="E470" s="4" t="n">
        <v>0.1602</v>
      </c>
      <c r="F470" s="4" t="n">
        <v>207644.5</v>
      </c>
      <c r="G470" s="4" t="n">
        <v>188046.3</v>
      </c>
      <c r="H470" s="4" t="n">
        <v>19598.2</v>
      </c>
      <c r="I470" s="4" t="n">
        <v>0.0944</v>
      </c>
      <c r="J470" s="4" t="n">
        <v>0.968</v>
      </c>
      <c r="K470" s="4" t="n">
        <v>39</v>
      </c>
      <c r="L470" s="4" t="n">
        <v>90</v>
      </c>
      <c r="M470" s="4" t="n">
        <v>0</v>
      </c>
      <c r="N470" s="4" t="n">
        <v>0</v>
      </c>
    </row>
    <row r="471" customFormat="false" ht="15" hidden="false" customHeight="false" outlineLevel="0" collapsed="false">
      <c r="A471" s="4" t="s">
        <v>813</v>
      </c>
      <c r="B471" s="4" t="s">
        <v>116</v>
      </c>
      <c r="C471" s="4" t="s">
        <v>318</v>
      </c>
      <c r="D471" s="4" t="n">
        <v>1358034.76</v>
      </c>
      <c r="E471" s="4" t="n">
        <v>0.1452</v>
      </c>
      <c r="F471" s="4" t="n">
        <v>1160797.68</v>
      </c>
      <c r="G471" s="4" t="n">
        <v>1074640.64</v>
      </c>
      <c r="H471" s="4" t="n">
        <v>86157.04</v>
      </c>
      <c r="I471" s="4" t="n">
        <v>0.0742</v>
      </c>
      <c r="J471" s="4" t="n">
        <v>0.849</v>
      </c>
      <c r="K471" s="4" t="n">
        <v>83</v>
      </c>
      <c r="L471" s="4" t="n">
        <v>30</v>
      </c>
      <c r="M471" s="4" t="n">
        <v>13</v>
      </c>
      <c r="N471" s="4" t="n">
        <v>1</v>
      </c>
    </row>
    <row r="472" customFormat="false" ht="15" hidden="false" customHeight="false" outlineLevel="0" collapsed="false">
      <c r="A472" s="4" t="s">
        <v>814</v>
      </c>
      <c r="B472" s="4" t="s">
        <v>138</v>
      </c>
      <c r="C472" s="4" t="s">
        <v>290</v>
      </c>
      <c r="D472" s="4" t="n">
        <v>14248.41</v>
      </c>
      <c r="E472" s="4" t="n">
        <v>0.1202</v>
      </c>
      <c r="F472" s="4" t="n">
        <v>12536.43</v>
      </c>
      <c r="G472" s="4" t="n">
        <v>10282.5</v>
      </c>
      <c r="H472" s="4" t="n">
        <v>2253.93</v>
      </c>
      <c r="I472" s="4" t="n">
        <v>0.1798</v>
      </c>
      <c r="J472" s="4" t="n">
        <v>0.938</v>
      </c>
      <c r="K472" s="4" t="n">
        <v>26</v>
      </c>
      <c r="L472" s="4" t="n">
        <v>120</v>
      </c>
      <c r="M472" s="4" t="n">
        <v>6</v>
      </c>
      <c r="N472" s="4" t="n">
        <v>1</v>
      </c>
    </row>
    <row r="473" customFormat="false" ht="15" hidden="false" customHeight="false" outlineLevel="0" collapsed="false">
      <c r="A473" s="4" t="s">
        <v>815</v>
      </c>
      <c r="B473" s="4" t="s">
        <v>170</v>
      </c>
      <c r="C473" s="4" t="s">
        <v>308</v>
      </c>
      <c r="D473" s="4" t="n">
        <v>55817.32</v>
      </c>
      <c r="E473" s="4" t="n">
        <v>0.0166</v>
      </c>
      <c r="F473" s="4" t="n">
        <v>54891.42</v>
      </c>
      <c r="G473" s="4" t="n">
        <v>48912.4</v>
      </c>
      <c r="H473" s="4" t="n">
        <v>5979.02</v>
      </c>
      <c r="I473" s="4" t="n">
        <v>0.1089</v>
      </c>
      <c r="J473" s="4" t="n">
        <v>0.83</v>
      </c>
      <c r="K473" s="4" t="n">
        <v>87</v>
      </c>
      <c r="L473" s="4" t="n">
        <v>30</v>
      </c>
      <c r="M473" s="4" t="n">
        <v>0</v>
      </c>
      <c r="N473" s="4" t="n">
        <v>0</v>
      </c>
    </row>
    <row r="474" customFormat="false" ht="15" hidden="false" customHeight="false" outlineLevel="0" collapsed="false">
      <c r="A474" s="4" t="s">
        <v>816</v>
      </c>
      <c r="B474" s="4" t="s">
        <v>220</v>
      </c>
      <c r="C474" s="4" t="s">
        <v>308</v>
      </c>
      <c r="D474" s="4" t="n">
        <v>55817.32</v>
      </c>
      <c r="E474" s="4" t="n">
        <v>0.1085</v>
      </c>
      <c r="F474" s="4" t="n">
        <v>49763.37</v>
      </c>
      <c r="G474" s="4" t="n">
        <v>48912.4</v>
      </c>
      <c r="H474" s="4" t="n">
        <v>850.97</v>
      </c>
      <c r="I474" s="4" t="n">
        <v>0.0171</v>
      </c>
      <c r="J474" s="4" t="n">
        <v>1.012</v>
      </c>
      <c r="K474" s="4" t="n">
        <v>81</v>
      </c>
      <c r="L474" s="4" t="n">
        <v>30</v>
      </c>
      <c r="M474" s="4" t="n">
        <v>6</v>
      </c>
      <c r="N474" s="4" t="n">
        <v>1</v>
      </c>
    </row>
    <row r="475" customFormat="false" ht="15" hidden="false" customHeight="false" outlineLevel="0" collapsed="false">
      <c r="A475" s="4" t="s">
        <v>817</v>
      </c>
      <c r="B475" s="4" t="s">
        <v>220</v>
      </c>
      <c r="C475" s="4" t="s">
        <v>330</v>
      </c>
      <c r="D475" s="4" t="n">
        <v>32256.72</v>
      </c>
      <c r="E475" s="4" t="n">
        <v>0.068</v>
      </c>
      <c r="F475" s="4" t="n">
        <v>30062.95</v>
      </c>
      <c r="G475" s="4" t="n">
        <v>23527.23</v>
      </c>
      <c r="H475" s="4" t="n">
        <v>6535.72</v>
      </c>
      <c r="I475" s="4" t="n">
        <v>0.2174</v>
      </c>
      <c r="J475" s="4" t="n">
        <v>1.006</v>
      </c>
      <c r="K475" s="4" t="n">
        <v>60</v>
      </c>
      <c r="L475" s="4" t="n">
        <v>60</v>
      </c>
      <c r="M475" s="4" t="n">
        <v>9</v>
      </c>
      <c r="N475" s="4" t="n">
        <v>0</v>
      </c>
    </row>
    <row r="476" customFormat="false" ht="15" hidden="false" customHeight="false" outlineLevel="0" collapsed="false">
      <c r="A476" s="4" t="s">
        <v>818</v>
      </c>
      <c r="B476" s="4" t="s">
        <v>118</v>
      </c>
      <c r="C476" s="4" t="s">
        <v>265</v>
      </c>
      <c r="D476" s="4" t="n">
        <v>766662.8</v>
      </c>
      <c r="E476" s="4" t="n">
        <v>0.1069</v>
      </c>
      <c r="F476" s="4" t="n">
        <v>684702.57</v>
      </c>
      <c r="G476" s="4" t="n">
        <v>543009.32</v>
      </c>
      <c r="H476" s="4" t="n">
        <v>141693.25</v>
      </c>
      <c r="I476" s="4" t="n">
        <v>0.2069</v>
      </c>
      <c r="J476" s="4" t="n">
        <v>0.83</v>
      </c>
      <c r="K476" s="4" t="n">
        <v>77</v>
      </c>
      <c r="L476" s="4" t="n">
        <v>60</v>
      </c>
      <c r="M476" s="4" t="n">
        <v>12</v>
      </c>
      <c r="N476" s="4" t="n">
        <v>0</v>
      </c>
    </row>
    <row r="477" customFormat="false" ht="15" hidden="false" customHeight="false" outlineLevel="0" collapsed="false">
      <c r="A477" s="4" t="s">
        <v>819</v>
      </c>
      <c r="B477" s="4" t="s">
        <v>160</v>
      </c>
      <c r="C477" s="4" t="s">
        <v>274</v>
      </c>
      <c r="D477" s="4" t="n">
        <v>1774866.6</v>
      </c>
      <c r="E477" s="4" t="n">
        <v>0.1742</v>
      </c>
      <c r="F477" s="4" t="n">
        <v>1465703.83</v>
      </c>
      <c r="G477" s="4" t="n">
        <v>1396444.3</v>
      </c>
      <c r="H477" s="4" t="n">
        <v>69259.53</v>
      </c>
      <c r="I477" s="4" t="n">
        <v>0.0473</v>
      </c>
      <c r="J477" s="4" t="n">
        <v>0.978</v>
      </c>
      <c r="K477" s="4" t="n">
        <v>84</v>
      </c>
      <c r="L477" s="4" t="n">
        <v>90</v>
      </c>
      <c r="M477" s="4" t="n">
        <v>9</v>
      </c>
      <c r="N477" s="4" t="n">
        <v>1</v>
      </c>
    </row>
    <row r="478" customFormat="false" ht="15" hidden="false" customHeight="false" outlineLevel="0" collapsed="false">
      <c r="A478" s="4" t="s">
        <v>820</v>
      </c>
      <c r="B478" s="4" t="s">
        <v>192</v>
      </c>
      <c r="C478" s="4" t="s">
        <v>279</v>
      </c>
      <c r="D478" s="4" t="n">
        <v>270319.9</v>
      </c>
      <c r="E478" s="4" t="n">
        <v>0.0458</v>
      </c>
      <c r="F478" s="4" t="n">
        <v>257939.9</v>
      </c>
      <c r="G478" s="4" t="n">
        <v>227531.45</v>
      </c>
      <c r="H478" s="4" t="n">
        <v>30408.45</v>
      </c>
      <c r="I478" s="4" t="n">
        <v>0.1179</v>
      </c>
      <c r="J478" s="4" t="n">
        <v>0.949</v>
      </c>
      <c r="K478" s="4" t="n">
        <v>61</v>
      </c>
      <c r="L478" s="4" t="n">
        <v>30</v>
      </c>
      <c r="M478" s="4" t="n">
        <v>8</v>
      </c>
      <c r="N478" s="4" t="n">
        <v>1</v>
      </c>
    </row>
    <row r="479" customFormat="false" ht="15" hidden="false" customHeight="false" outlineLevel="0" collapsed="false">
      <c r="A479" s="4" t="s">
        <v>821</v>
      </c>
      <c r="B479" s="4" t="s">
        <v>88</v>
      </c>
      <c r="C479" s="4" t="s">
        <v>316</v>
      </c>
      <c r="D479" s="4" t="n">
        <v>358450.1</v>
      </c>
      <c r="E479" s="4" t="n">
        <v>0.0508</v>
      </c>
      <c r="F479" s="4" t="n">
        <v>340239.92</v>
      </c>
      <c r="G479" s="4" t="n">
        <v>228227.78</v>
      </c>
      <c r="H479" s="4" t="n">
        <v>112012.14</v>
      </c>
      <c r="I479" s="4" t="n">
        <v>0.3292</v>
      </c>
      <c r="J479" s="4" t="n">
        <v>0.885</v>
      </c>
      <c r="K479" s="4" t="n">
        <v>100</v>
      </c>
      <c r="L479" s="4" t="n">
        <v>120</v>
      </c>
      <c r="M479" s="4" t="n">
        <v>7</v>
      </c>
      <c r="N479" s="4" t="n">
        <v>1</v>
      </c>
    </row>
    <row r="480" customFormat="false" ht="15" hidden="false" customHeight="false" outlineLevel="0" collapsed="false">
      <c r="A480" s="4" t="s">
        <v>822</v>
      </c>
      <c r="B480" s="4" t="s">
        <v>102</v>
      </c>
      <c r="C480" s="4" t="s">
        <v>294</v>
      </c>
      <c r="D480" s="4" t="n">
        <v>3694023.76</v>
      </c>
      <c r="E480" s="4" t="n">
        <v>0.0734</v>
      </c>
      <c r="F480" s="4" t="n">
        <v>3423022.36</v>
      </c>
      <c r="G480" s="4" t="n">
        <v>2629122.16</v>
      </c>
      <c r="H480" s="4" t="n">
        <v>793900.2</v>
      </c>
      <c r="I480" s="4" t="n">
        <v>0.2319</v>
      </c>
      <c r="J480" s="4" t="n">
        <v>1.086</v>
      </c>
      <c r="K480" s="4" t="n">
        <v>106</v>
      </c>
      <c r="L480" s="4" t="n">
        <v>60</v>
      </c>
      <c r="M480" s="4" t="n">
        <v>0</v>
      </c>
      <c r="N480" s="4" t="n">
        <v>1</v>
      </c>
    </row>
    <row r="481" customFormat="false" ht="15" hidden="false" customHeight="false" outlineLevel="0" collapsed="false">
      <c r="A481" s="4" t="s">
        <v>823</v>
      </c>
      <c r="B481" s="4" t="s">
        <v>53</v>
      </c>
      <c r="C481" s="4" t="s">
        <v>296</v>
      </c>
      <c r="D481" s="4" t="n">
        <v>3094257.63</v>
      </c>
      <c r="E481" s="4" t="n">
        <v>0.1576</v>
      </c>
      <c r="F481" s="4" t="n">
        <v>2606547.66</v>
      </c>
      <c r="G481" s="4" t="n">
        <v>1899711.06</v>
      </c>
      <c r="H481" s="4" t="n">
        <v>706836.6</v>
      </c>
      <c r="I481" s="4" t="n">
        <v>0.2712</v>
      </c>
      <c r="J481" s="4" t="n">
        <v>0.989</v>
      </c>
      <c r="K481" s="4" t="n">
        <v>60</v>
      </c>
      <c r="L481" s="4" t="n">
        <v>30</v>
      </c>
      <c r="M481" s="4" t="n">
        <v>11</v>
      </c>
      <c r="N481" s="4" t="n">
        <v>0</v>
      </c>
    </row>
    <row r="482" customFormat="false" ht="15" hidden="false" customHeight="false" outlineLevel="0" collapsed="false">
      <c r="A482" s="4" t="s">
        <v>824</v>
      </c>
      <c r="B482" s="4" t="s">
        <v>42</v>
      </c>
      <c r="C482" s="4" t="s">
        <v>326</v>
      </c>
      <c r="D482" s="4" t="n">
        <v>169724.64</v>
      </c>
      <c r="E482" s="4" t="n">
        <v>0.0706</v>
      </c>
      <c r="F482" s="4" t="n">
        <v>157742.04</v>
      </c>
      <c r="G482" s="4" t="n">
        <v>109450.96</v>
      </c>
      <c r="H482" s="4" t="n">
        <v>48291.08</v>
      </c>
      <c r="I482" s="4" t="n">
        <v>0.3061</v>
      </c>
      <c r="J482" s="4" t="n">
        <v>0.981</v>
      </c>
      <c r="K482" s="4" t="n">
        <v>60</v>
      </c>
      <c r="L482" s="4" t="n">
        <v>30</v>
      </c>
      <c r="M482" s="4" t="n">
        <v>13</v>
      </c>
      <c r="N482" s="4" t="n">
        <v>1</v>
      </c>
    </row>
    <row r="483" customFormat="false" ht="15" hidden="false" customHeight="false" outlineLevel="0" collapsed="false">
      <c r="A483" s="4" t="s">
        <v>825</v>
      </c>
      <c r="B483" s="4" t="s">
        <v>134</v>
      </c>
      <c r="C483" s="4" t="s">
        <v>310</v>
      </c>
      <c r="D483" s="4" t="n">
        <v>51479.55</v>
      </c>
      <c r="E483" s="4" t="n">
        <v>0.0685</v>
      </c>
      <c r="F483" s="4" t="n">
        <v>47952.83</v>
      </c>
      <c r="G483" s="4" t="n">
        <v>36498.21</v>
      </c>
      <c r="H483" s="4" t="n">
        <v>11454.62</v>
      </c>
      <c r="I483" s="4" t="n">
        <v>0.2389</v>
      </c>
      <c r="J483" s="4" t="n">
        <v>0.943</v>
      </c>
      <c r="K483" s="4" t="n">
        <v>73</v>
      </c>
      <c r="L483" s="4" t="n">
        <v>30</v>
      </c>
      <c r="M483" s="4" t="n">
        <v>0</v>
      </c>
      <c r="N483" s="4" t="n">
        <v>0</v>
      </c>
    </row>
    <row r="484" customFormat="false" ht="15" hidden="false" customHeight="false" outlineLevel="0" collapsed="false">
      <c r="A484" s="4" t="s">
        <v>826</v>
      </c>
      <c r="B484" s="4" t="s">
        <v>57</v>
      </c>
      <c r="C484" s="4" t="s">
        <v>302</v>
      </c>
      <c r="D484" s="4" t="n">
        <v>51384.24</v>
      </c>
      <c r="E484" s="4" t="n">
        <v>0.1226</v>
      </c>
      <c r="F484" s="4" t="n">
        <v>45085.21</v>
      </c>
      <c r="G484" s="4" t="n">
        <v>40478.13</v>
      </c>
      <c r="H484" s="4" t="n">
        <v>4607.08</v>
      </c>
      <c r="I484" s="4" t="n">
        <v>0.1022</v>
      </c>
      <c r="J484" s="4" t="n">
        <v>1.038</v>
      </c>
      <c r="K484" s="4" t="n">
        <v>77</v>
      </c>
      <c r="L484" s="4" t="n">
        <v>30</v>
      </c>
      <c r="M484" s="4" t="n">
        <v>2</v>
      </c>
      <c r="N484" s="4" t="n">
        <v>1</v>
      </c>
    </row>
    <row r="485" customFormat="false" ht="15" hidden="false" customHeight="false" outlineLevel="0" collapsed="false">
      <c r="A485" s="4" t="s">
        <v>827</v>
      </c>
      <c r="B485" s="4" t="s">
        <v>94</v>
      </c>
      <c r="C485" s="4" t="s">
        <v>298</v>
      </c>
      <c r="D485" s="4" t="n">
        <v>3566891.84</v>
      </c>
      <c r="E485" s="4" t="n">
        <v>0.0717</v>
      </c>
      <c r="F485" s="4" t="n">
        <v>3311314.42</v>
      </c>
      <c r="G485" s="4" t="n">
        <v>2693097.4</v>
      </c>
      <c r="H485" s="4" t="n">
        <v>618217.02</v>
      </c>
      <c r="I485" s="4" t="n">
        <v>0.1867</v>
      </c>
      <c r="J485" s="4" t="n">
        <v>0.891</v>
      </c>
      <c r="K485" s="4" t="n">
        <v>49</v>
      </c>
      <c r="L485" s="4" t="n">
        <v>45</v>
      </c>
      <c r="M485" s="4" t="n">
        <v>7</v>
      </c>
      <c r="N485" s="4" t="n">
        <v>1</v>
      </c>
    </row>
    <row r="486" customFormat="false" ht="15" hidden="false" customHeight="false" outlineLevel="0" collapsed="false">
      <c r="A486" s="4" t="s">
        <v>828</v>
      </c>
      <c r="B486" s="4" t="s">
        <v>120</v>
      </c>
      <c r="C486" s="4" t="s">
        <v>306</v>
      </c>
      <c r="D486" s="4" t="n">
        <v>281158.05</v>
      </c>
      <c r="E486" s="4" t="n">
        <v>0.0514</v>
      </c>
      <c r="F486" s="4" t="n">
        <v>266707.64</v>
      </c>
      <c r="G486" s="4" t="n">
        <v>195317.94</v>
      </c>
      <c r="H486" s="4" t="n">
        <v>71389.7</v>
      </c>
      <c r="I486" s="4" t="n">
        <v>0.2677</v>
      </c>
      <c r="J486" s="4" t="n">
        <v>0.77</v>
      </c>
      <c r="K486" s="4" t="n">
        <v>40</v>
      </c>
      <c r="L486" s="4" t="n">
        <v>30</v>
      </c>
      <c r="M486" s="4" t="n">
        <v>0</v>
      </c>
      <c r="N486" s="4" t="n">
        <v>0</v>
      </c>
    </row>
    <row r="487" customFormat="false" ht="15" hidden="false" customHeight="false" outlineLevel="0" collapsed="false">
      <c r="A487" s="4" t="s">
        <v>829</v>
      </c>
      <c r="B487" s="4" t="s">
        <v>84</v>
      </c>
      <c r="C487" s="4" t="s">
        <v>276</v>
      </c>
      <c r="D487" s="4" t="n">
        <v>145884</v>
      </c>
      <c r="E487" s="4" t="n">
        <v>0.0615</v>
      </c>
      <c r="F487" s="4" t="n">
        <v>136916.61</v>
      </c>
      <c r="G487" s="4" t="n">
        <v>96852.99</v>
      </c>
      <c r="H487" s="4" t="n">
        <v>40063.62</v>
      </c>
      <c r="I487" s="4" t="n">
        <v>0.2926</v>
      </c>
      <c r="J487" s="4" t="n">
        <v>1</v>
      </c>
      <c r="K487" s="4" t="n">
        <v>33</v>
      </c>
      <c r="L487" s="4" t="n">
        <v>90</v>
      </c>
      <c r="M487" s="4" t="n">
        <v>0</v>
      </c>
      <c r="N487" s="4" t="n">
        <v>0</v>
      </c>
    </row>
    <row r="488" customFormat="false" ht="15" hidden="false" customHeight="false" outlineLevel="0" collapsed="false">
      <c r="A488" s="4" t="s">
        <v>830</v>
      </c>
      <c r="B488" s="4" t="s">
        <v>236</v>
      </c>
      <c r="C488" s="4" t="s">
        <v>306</v>
      </c>
      <c r="D488" s="4" t="n">
        <v>468596.75</v>
      </c>
      <c r="E488" s="4" t="n">
        <v>0.0572</v>
      </c>
      <c r="F488" s="4" t="n">
        <v>441784.32</v>
      </c>
      <c r="G488" s="4" t="n">
        <v>325529.9</v>
      </c>
      <c r="H488" s="4" t="n">
        <v>116254.42</v>
      </c>
      <c r="I488" s="4" t="n">
        <v>0.2631</v>
      </c>
      <c r="J488" s="4" t="n">
        <v>0.948</v>
      </c>
      <c r="K488" s="4" t="n">
        <v>69</v>
      </c>
      <c r="L488" s="4" t="n">
        <v>30</v>
      </c>
      <c r="M488" s="4" t="n">
        <v>0</v>
      </c>
      <c r="N488" s="4" t="n">
        <v>1</v>
      </c>
    </row>
    <row r="489" customFormat="false" ht="15" hidden="false" customHeight="false" outlineLevel="0" collapsed="false">
      <c r="A489" s="4" t="s">
        <v>831</v>
      </c>
      <c r="B489" s="4" t="s">
        <v>196</v>
      </c>
      <c r="C489" s="4" t="s">
        <v>328</v>
      </c>
      <c r="D489" s="4" t="n">
        <v>23794.94</v>
      </c>
      <c r="E489" s="4" t="n">
        <v>0.1623</v>
      </c>
      <c r="F489" s="4" t="n">
        <v>19932.69</v>
      </c>
      <c r="G489" s="4" t="n">
        <v>15583.55</v>
      </c>
      <c r="H489" s="4" t="n">
        <v>4349.14</v>
      </c>
      <c r="I489" s="4" t="n">
        <v>0.2182</v>
      </c>
      <c r="J489" s="4" t="n">
        <v>1.014</v>
      </c>
      <c r="K489" s="4" t="n">
        <v>41</v>
      </c>
      <c r="L489" s="4" t="n">
        <v>30</v>
      </c>
      <c r="M489" s="4" t="n">
        <v>0</v>
      </c>
      <c r="N489" s="4" t="n">
        <v>1</v>
      </c>
    </row>
    <row r="490" customFormat="false" ht="15" hidden="false" customHeight="false" outlineLevel="0" collapsed="false">
      <c r="A490" s="4" t="s">
        <v>832</v>
      </c>
      <c r="B490" s="4" t="s">
        <v>180</v>
      </c>
      <c r="C490" s="4" t="s">
        <v>298</v>
      </c>
      <c r="D490" s="4" t="n">
        <v>2675168.88</v>
      </c>
      <c r="E490" s="4" t="n">
        <v>0.1208</v>
      </c>
      <c r="F490" s="4" t="n">
        <v>2351955.44</v>
      </c>
      <c r="G490" s="4" t="n">
        <v>2019823.05</v>
      </c>
      <c r="H490" s="4" t="n">
        <v>332132.39</v>
      </c>
      <c r="I490" s="4" t="n">
        <v>0.1412</v>
      </c>
      <c r="J490" s="4" t="n">
        <v>0.993</v>
      </c>
      <c r="K490" s="4" t="n">
        <v>51</v>
      </c>
      <c r="L490" s="4" t="n">
        <v>120</v>
      </c>
      <c r="M490" s="4" t="n">
        <v>12</v>
      </c>
      <c r="N490" s="4" t="n">
        <v>1</v>
      </c>
    </row>
    <row r="491" customFormat="false" ht="15" hidden="false" customHeight="false" outlineLevel="0" collapsed="false">
      <c r="A491" s="4" t="s">
        <v>833</v>
      </c>
      <c r="B491" s="4" t="s">
        <v>226</v>
      </c>
      <c r="C491" s="4" t="s">
        <v>322</v>
      </c>
      <c r="D491" s="4" t="n">
        <v>49655.27</v>
      </c>
      <c r="E491" s="4" t="n">
        <v>0.1677</v>
      </c>
      <c r="F491" s="4" t="n">
        <v>41329.27</v>
      </c>
      <c r="G491" s="4" t="n">
        <v>38930.3</v>
      </c>
      <c r="H491" s="4" t="n">
        <v>2398.97</v>
      </c>
      <c r="I491" s="4" t="n">
        <v>0.058</v>
      </c>
      <c r="J491" s="4" t="n">
        <v>0.861</v>
      </c>
      <c r="K491" s="4" t="n">
        <v>46</v>
      </c>
      <c r="L491" s="4" t="n">
        <v>30</v>
      </c>
      <c r="M491" s="4" t="n">
        <v>6</v>
      </c>
      <c r="N491" s="4" t="n">
        <v>0</v>
      </c>
    </row>
    <row r="492" customFormat="false" ht="15" hidden="false" customHeight="false" outlineLevel="0" collapsed="false">
      <c r="A492" s="4" t="s">
        <v>834</v>
      </c>
      <c r="B492" s="4" t="s">
        <v>53</v>
      </c>
      <c r="C492" s="4" t="s">
        <v>330</v>
      </c>
      <c r="D492" s="4" t="n">
        <v>32256.72</v>
      </c>
      <c r="E492" s="4" t="n">
        <v>0.0516</v>
      </c>
      <c r="F492" s="4" t="n">
        <v>30591.03</v>
      </c>
      <c r="G492" s="4" t="n">
        <v>23527.23</v>
      </c>
      <c r="H492" s="4" t="n">
        <v>7063.8</v>
      </c>
      <c r="I492" s="4" t="n">
        <v>0.2309</v>
      </c>
      <c r="J492" s="4" t="n">
        <v>1.018</v>
      </c>
      <c r="K492" s="4" t="n">
        <v>72</v>
      </c>
      <c r="L492" s="4" t="n">
        <v>30</v>
      </c>
      <c r="M492" s="4" t="n">
        <v>8</v>
      </c>
      <c r="N492" s="4" t="n">
        <v>0</v>
      </c>
    </row>
    <row r="493" customFormat="false" ht="15" hidden="false" customHeight="false" outlineLevel="0" collapsed="false">
      <c r="A493" s="4" t="s">
        <v>835</v>
      </c>
      <c r="B493" s="4" t="s">
        <v>112</v>
      </c>
      <c r="C493" s="4" t="s">
        <v>312</v>
      </c>
      <c r="D493" s="4" t="n">
        <v>313222.16</v>
      </c>
      <c r="E493" s="4" t="n">
        <v>0.0793</v>
      </c>
      <c r="F493" s="4" t="n">
        <v>288376.03</v>
      </c>
      <c r="G493" s="4" t="n">
        <v>206768.56</v>
      </c>
      <c r="H493" s="4" t="n">
        <v>81607.47</v>
      </c>
      <c r="I493" s="4" t="n">
        <v>0.283</v>
      </c>
      <c r="J493" s="4" t="n">
        <v>1.041</v>
      </c>
      <c r="K493" s="4" t="n">
        <v>66</v>
      </c>
      <c r="L493" s="4" t="n">
        <v>45</v>
      </c>
      <c r="M493" s="4" t="n">
        <v>12</v>
      </c>
      <c r="N493" s="4" t="n">
        <v>1</v>
      </c>
    </row>
    <row r="494" customFormat="false" ht="15" hidden="false" customHeight="false" outlineLevel="0" collapsed="false">
      <c r="A494" s="4" t="s">
        <v>836</v>
      </c>
      <c r="B494" s="4" t="s">
        <v>212</v>
      </c>
      <c r="C494" s="4" t="s">
        <v>310</v>
      </c>
      <c r="D494" s="4" t="n">
        <v>85799.25</v>
      </c>
      <c r="E494" s="4" t="n">
        <v>0.0485</v>
      </c>
      <c r="F494" s="4" t="n">
        <v>81638.01</v>
      </c>
      <c r="G494" s="4" t="n">
        <v>60830.35</v>
      </c>
      <c r="H494" s="4" t="n">
        <v>20807.66</v>
      </c>
      <c r="I494" s="4" t="n">
        <v>0.2549</v>
      </c>
      <c r="J494" s="4" t="n">
        <v>0.982</v>
      </c>
      <c r="K494" s="4" t="n">
        <v>65</v>
      </c>
      <c r="L494" s="4" t="n">
        <v>60</v>
      </c>
      <c r="M494" s="4" t="n">
        <v>0</v>
      </c>
      <c r="N494" s="4" t="n">
        <v>1</v>
      </c>
    </row>
    <row r="495" customFormat="false" ht="15" hidden="false" customHeight="false" outlineLevel="0" collapsed="false">
      <c r="A495" s="4" t="s">
        <v>837</v>
      </c>
      <c r="B495" s="4" t="s">
        <v>226</v>
      </c>
      <c r="C495" s="4" t="s">
        <v>276</v>
      </c>
      <c r="D495" s="4" t="n">
        <v>97256</v>
      </c>
      <c r="E495" s="4" t="n">
        <v>0.0863</v>
      </c>
      <c r="F495" s="4" t="n">
        <v>88867.43</v>
      </c>
      <c r="G495" s="4" t="n">
        <v>64568.66</v>
      </c>
      <c r="H495" s="4" t="n">
        <v>24298.77</v>
      </c>
      <c r="I495" s="4" t="n">
        <v>0.2734</v>
      </c>
      <c r="J495" s="4" t="n">
        <v>0.882</v>
      </c>
      <c r="K495" s="4" t="n">
        <v>39</v>
      </c>
      <c r="L495" s="4" t="n">
        <v>30</v>
      </c>
      <c r="M495" s="4" t="n">
        <v>0</v>
      </c>
      <c r="N495" s="4" t="n">
        <v>0</v>
      </c>
    </row>
    <row r="496" customFormat="false" ht="15" hidden="false" customHeight="false" outlineLevel="0" collapsed="false">
      <c r="A496" s="4" t="s">
        <v>838</v>
      </c>
      <c r="B496" s="4" t="s">
        <v>120</v>
      </c>
      <c r="C496" s="4" t="s">
        <v>312</v>
      </c>
      <c r="D496" s="4" t="n">
        <v>626444.32</v>
      </c>
      <c r="E496" s="4" t="n">
        <v>0.0386</v>
      </c>
      <c r="F496" s="4" t="n">
        <v>602233.1</v>
      </c>
      <c r="G496" s="4" t="n">
        <v>413537.12</v>
      </c>
      <c r="H496" s="4" t="n">
        <v>188695.98</v>
      </c>
      <c r="I496" s="4" t="n">
        <v>0.3133</v>
      </c>
      <c r="J496" s="4" t="n">
        <v>1.043</v>
      </c>
      <c r="K496" s="4" t="n">
        <v>35</v>
      </c>
      <c r="L496" s="4" t="n">
        <v>30</v>
      </c>
      <c r="M496" s="4" t="n">
        <v>6</v>
      </c>
      <c r="N496" s="4" t="n">
        <v>1</v>
      </c>
    </row>
    <row r="497" customFormat="false" ht="15" hidden="false" customHeight="false" outlineLevel="0" collapsed="false">
      <c r="A497" s="4" t="s">
        <v>839</v>
      </c>
      <c r="B497" s="4" t="s">
        <v>186</v>
      </c>
      <c r="C497" s="4" t="s">
        <v>322</v>
      </c>
      <c r="D497" s="4" t="n">
        <v>99310.54</v>
      </c>
      <c r="E497" s="4" t="n">
        <v>0.1158</v>
      </c>
      <c r="F497" s="4" t="n">
        <v>87812.14</v>
      </c>
      <c r="G497" s="4" t="n">
        <v>77860.6</v>
      </c>
      <c r="H497" s="4" t="n">
        <v>9951.54</v>
      </c>
      <c r="I497" s="4" t="n">
        <v>0.1133</v>
      </c>
      <c r="J497" s="4" t="n">
        <v>0.842</v>
      </c>
      <c r="K497" s="4" t="n">
        <v>77</v>
      </c>
      <c r="L497" s="4" t="n">
        <v>60</v>
      </c>
      <c r="M497" s="4" t="n">
        <v>7</v>
      </c>
      <c r="N497" s="4" t="n">
        <v>0</v>
      </c>
    </row>
    <row r="498" customFormat="false" ht="15" hidden="false" customHeight="false" outlineLevel="0" collapsed="false">
      <c r="A498" s="4" t="s">
        <v>840</v>
      </c>
      <c r="B498" s="4" t="s">
        <v>136</v>
      </c>
      <c r="C498" s="4" t="s">
        <v>316</v>
      </c>
      <c r="D498" s="4" t="n">
        <v>1075350.3</v>
      </c>
      <c r="E498" s="4" t="n">
        <v>0.1029</v>
      </c>
      <c r="F498" s="4" t="n">
        <v>964742.76</v>
      </c>
      <c r="G498" s="4" t="n">
        <v>684683.34</v>
      </c>
      <c r="H498" s="4" t="n">
        <v>280059.42</v>
      </c>
      <c r="I498" s="4" t="n">
        <v>0.2903</v>
      </c>
      <c r="J498" s="4" t="n">
        <v>0.975</v>
      </c>
      <c r="K498" s="4" t="n">
        <v>77</v>
      </c>
      <c r="L498" s="4" t="n">
        <v>60</v>
      </c>
      <c r="M498" s="4" t="n">
        <v>0</v>
      </c>
      <c r="N498" s="4" t="n">
        <v>1</v>
      </c>
    </row>
    <row r="499" customFormat="false" ht="15" hidden="false" customHeight="false" outlineLevel="0" collapsed="false">
      <c r="A499" s="4" t="s">
        <v>841</v>
      </c>
      <c r="B499" s="4" t="s">
        <v>184</v>
      </c>
      <c r="C499" s="4" t="s">
        <v>287</v>
      </c>
      <c r="D499" s="4" t="n">
        <v>102995.8</v>
      </c>
      <c r="E499" s="4" t="n">
        <v>0.0711</v>
      </c>
      <c r="F499" s="4" t="n">
        <v>95676.32</v>
      </c>
      <c r="G499" s="4" t="n">
        <v>91414.2</v>
      </c>
      <c r="H499" s="4" t="n">
        <v>4262.12</v>
      </c>
      <c r="I499" s="4" t="n">
        <v>0.0445</v>
      </c>
      <c r="J499" s="4" t="n">
        <v>0.929</v>
      </c>
      <c r="K499" s="4" t="n">
        <v>66</v>
      </c>
      <c r="L499" s="4" t="n">
        <v>120</v>
      </c>
      <c r="M499" s="4" t="n">
        <v>4</v>
      </c>
      <c r="N499" s="4" t="n">
        <v>0</v>
      </c>
    </row>
    <row r="500" customFormat="false" ht="15" hidden="false" customHeight="false" outlineLevel="0" collapsed="false">
      <c r="A500" s="4" t="s">
        <v>842</v>
      </c>
      <c r="B500" s="4" t="s">
        <v>100</v>
      </c>
      <c r="C500" s="4" t="s">
        <v>296</v>
      </c>
      <c r="D500" s="4" t="n">
        <v>2062838.42</v>
      </c>
      <c r="E500" s="4" t="n">
        <v>0.1331</v>
      </c>
      <c r="F500" s="4" t="n">
        <v>1788250.97</v>
      </c>
      <c r="G500" s="4" t="n">
        <v>1266474.04</v>
      </c>
      <c r="H500" s="4" t="n">
        <v>521776.93</v>
      </c>
      <c r="I500" s="4" t="n">
        <v>0.2918</v>
      </c>
      <c r="J500" s="4" t="n">
        <v>1.084</v>
      </c>
      <c r="K500" s="4" t="n">
        <v>62</v>
      </c>
      <c r="L500" s="4" t="n">
        <v>120</v>
      </c>
      <c r="M500" s="4" t="n">
        <v>5</v>
      </c>
      <c r="N500" s="4" t="n">
        <v>0</v>
      </c>
    </row>
    <row r="501" customFormat="false" ht="15" hidden="false" customHeight="false" outlineLevel="0" collapsed="false">
      <c r="A501" s="4" t="s">
        <v>843</v>
      </c>
      <c r="B501" s="4" t="s">
        <v>210</v>
      </c>
      <c r="C501" s="4" t="s">
        <v>271</v>
      </c>
      <c r="D501" s="4" t="n">
        <v>2748656.12</v>
      </c>
      <c r="E501" s="4" t="n">
        <v>0.0347</v>
      </c>
      <c r="F501" s="4" t="n">
        <v>2653267.36</v>
      </c>
      <c r="G501" s="4" t="n">
        <v>2118011.04</v>
      </c>
      <c r="H501" s="4" t="n">
        <v>535256.32</v>
      </c>
      <c r="I501" s="4" t="n">
        <v>0.2017</v>
      </c>
      <c r="J501" s="4" t="n">
        <v>0.992</v>
      </c>
      <c r="K501" s="4" t="n">
        <v>88</v>
      </c>
      <c r="L501" s="4" t="n">
        <v>30</v>
      </c>
      <c r="M501" s="4" t="n">
        <v>8</v>
      </c>
      <c r="N501" s="4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8"/>
  </cols>
  <sheetData>
    <row r="1" customFormat="false" ht="17.35" hidden="false" customHeight="false" outlineLevel="0" collapsed="false">
      <c r="A1" s="1" t="s">
        <v>844</v>
      </c>
    </row>
    <row r="3" customFormat="false" ht="15" hidden="false" customHeight="false" outlineLevel="0" collapsed="false">
      <c r="A3" s="5" t="s">
        <v>845</v>
      </c>
      <c r="B3" s="6" t="s">
        <v>37</v>
      </c>
    </row>
    <row r="4" customFormat="false" ht="15" hidden="false" customHeight="false" outlineLevel="0" collapsed="false">
      <c r="A4" s="5" t="s">
        <v>846</v>
      </c>
      <c r="B4" s="6" t="s">
        <v>266</v>
      </c>
    </row>
    <row r="5" customFormat="false" ht="15" hidden="false" customHeight="false" outlineLevel="0" collapsed="false">
      <c r="A5" s="5" t="s">
        <v>847</v>
      </c>
      <c r="B5" s="6" t="n">
        <v>2</v>
      </c>
    </row>
    <row r="6" customFormat="false" ht="15" hidden="false" customHeight="false" outlineLevel="0" collapsed="false">
      <c r="A6" s="5" t="s">
        <v>848</v>
      </c>
      <c r="B6" s="6" t="n">
        <v>0</v>
      </c>
    </row>
    <row r="7" customFormat="false" ht="15" hidden="false" customHeight="false" outlineLevel="0" collapsed="false">
      <c r="A7" s="5" t="s">
        <v>849</v>
      </c>
      <c r="B7" s="7" t="n">
        <v>0.1</v>
      </c>
    </row>
    <row r="8" customFormat="false" ht="15" hidden="false" customHeight="false" outlineLevel="0" collapsed="false">
      <c r="A8" s="5" t="s">
        <v>850</v>
      </c>
      <c r="B8" s="6" t="n">
        <v>250000</v>
      </c>
    </row>
    <row r="9" customFormat="false" ht="15" hidden="false" customHeight="false" outlineLevel="0" collapsed="false">
      <c r="A9" s="5" t="s">
        <v>851</v>
      </c>
      <c r="B9" s="6" t="n">
        <v>45</v>
      </c>
    </row>
    <row r="10" customFormat="false" ht="15" hidden="false" customHeight="false" outlineLevel="0" collapsed="false">
      <c r="A10" s="5" t="s">
        <v>852</v>
      </c>
      <c r="B10" s="6" t="n">
        <v>50</v>
      </c>
    </row>
    <row r="11" customFormat="false" ht="15" hidden="false" customHeight="false" outlineLevel="0" collapsed="false">
      <c r="A11" s="5" t="s">
        <v>853</v>
      </c>
      <c r="B11" s="7" t="n">
        <v>0.25</v>
      </c>
    </row>
    <row r="13" customFormat="false" ht="15" hidden="false" customHeight="false" outlineLevel="0" collapsed="false">
      <c r="A13" s="5" t="s">
        <v>854</v>
      </c>
    </row>
    <row r="14" customFormat="false" ht="15" hidden="false" customHeight="false" outlineLevel="0" collapsed="false">
      <c r="A14" s="2" t="s">
        <v>855</v>
      </c>
      <c r="B14" s="8" t="n">
        <f aca="false">INDEX(Customers!$I$2:$I$101,MATCH($B$3,Customers!$B$2:$B$101,0))</f>
        <v>0.4</v>
      </c>
    </row>
    <row r="15" customFormat="false" ht="15" hidden="false" customHeight="false" outlineLevel="0" collapsed="false">
      <c r="A15" s="2" t="s">
        <v>856</v>
      </c>
      <c r="B15" s="4" t="n">
        <f aca="false">INDEX(Customers!$L$2:$L$101,MATCH($B$3,Customers!$B$2:$B$101,0))</f>
        <v>4</v>
      </c>
    </row>
    <row r="16" customFormat="false" ht="15" hidden="false" customHeight="false" outlineLevel="0" collapsed="false">
      <c r="A16" s="2" t="s">
        <v>857</v>
      </c>
      <c r="B16" s="4" t="n">
        <f aca="false">INDEX(Customers!$M$2:$M$101,MATCH($B$3,Customers!$B$2:$B$101,0))</f>
        <v>0</v>
      </c>
    </row>
    <row r="17" customFormat="false" ht="15" hidden="false" customHeight="false" outlineLevel="0" collapsed="false">
      <c r="A17" s="2" t="s">
        <v>858</v>
      </c>
      <c r="B17" s="4" t="str">
        <f aca="false">INDEX(Customers!$N$2:$N$101,MATCH($B$3,Customers!$B$2:$B$101,0))</f>
        <v>Medium</v>
      </c>
    </row>
    <row r="18" customFormat="false" ht="15" hidden="false" customHeight="false" outlineLevel="0" collapsed="false">
      <c r="A18" s="2" t="s">
        <v>859</v>
      </c>
      <c r="B18" s="9" t="n">
        <f aca="false">INDEX(Products!$D$2:$D$31,MATCH($B$4,Products!$B$2:$B$31,0))</f>
        <v>118214.43</v>
      </c>
    </row>
    <row r="19" customFormat="false" ht="15" hidden="false" customHeight="false" outlineLevel="0" collapsed="false">
      <c r="A19" s="2" t="s">
        <v>860</v>
      </c>
      <c r="B19" s="9" t="n">
        <f aca="false">INDEX(Products!$E$2:$E$31,MATCH($B$4,Products!$B$2:$B$31,0))</f>
        <v>191665.7</v>
      </c>
    </row>
    <row r="20" customFormat="false" ht="15" hidden="false" customHeight="false" outlineLevel="0" collapsed="false">
      <c r="A20" s="2" t="s">
        <v>861</v>
      </c>
      <c r="B20" s="9" t="n">
        <f aca="false">INDEX(Products!$F$2:$F$31,MATCH($B$4,Products!$B$2:$B$31,0))</f>
        <v>7063.14</v>
      </c>
    </row>
    <row r="21" customFormat="false" ht="15" hidden="false" customHeight="false" outlineLevel="0" collapsed="false">
      <c r="A21" s="2" t="s">
        <v>862</v>
      </c>
      <c r="B21" s="9" t="n">
        <f aca="false">INDEX(Products!$G$2:$G$31,MATCH($B$4,Products!$B$2:$B$31,0))</f>
        <v>4113.79</v>
      </c>
    </row>
    <row r="22" customFormat="false" ht="15" hidden="false" customHeight="false" outlineLevel="0" collapsed="false">
      <c r="A22" s="2" t="s">
        <v>863</v>
      </c>
      <c r="B22" s="9" t="n">
        <f aca="false">INDEX(Products!$H$2:$H$31,MATCH($B$4,Products!$B$2:$B$31,0))</f>
        <v>3156.89</v>
      </c>
    </row>
    <row r="23" customFormat="false" ht="15" hidden="false" customHeight="false" outlineLevel="0" collapsed="false">
      <c r="A23" s="2" t="s">
        <v>864</v>
      </c>
      <c r="B23" s="9" t="n">
        <f aca="false">INDEX(Products!$I$2:$I$31,MATCH($B$4,Products!$B$2:$B$31,0))</f>
        <v>3204.08</v>
      </c>
    </row>
    <row r="24" customFormat="false" ht="15" hidden="false" customHeight="false" outlineLevel="0" collapsed="false">
      <c r="A24" s="2" t="s">
        <v>865</v>
      </c>
      <c r="B24" s="8" t="n">
        <f aca="false">INDEX(Products!$J$2:$J$31,MATCH($B$4,Products!$B$2:$B$31,0))</f>
        <v>0.168</v>
      </c>
    </row>
    <row r="25" customFormat="false" ht="15" hidden="false" customHeight="false" outlineLevel="0" collapsed="false">
      <c r="A25" s="2" t="s">
        <v>866</v>
      </c>
      <c r="B25" s="8" t="n">
        <f aca="false">INDEX(Products!$K$2:$K$31,MATCH($B$4,Products!$B$2:$B$31,0))</f>
        <v>0.234</v>
      </c>
    </row>
    <row r="27" customFormat="false" ht="15" hidden="false" customHeight="false" outlineLevel="0" collapsed="false">
      <c r="A27" s="5" t="s">
        <v>867</v>
      </c>
    </row>
    <row r="28" customFormat="false" ht="15" hidden="false" customHeight="false" outlineLevel="0" collapsed="false">
      <c r="A28" s="5" t="s">
        <v>868</v>
      </c>
      <c r="B28" s="9" t="n">
        <f aca="false">($B$18+$B$20+$B$22+$B$21+$B$23)*$B$5+$B$6</f>
        <v>271504.66</v>
      </c>
    </row>
    <row r="29" customFormat="false" ht="15" hidden="false" customHeight="false" outlineLevel="0" collapsed="false">
      <c r="A29" s="5" t="s">
        <v>869</v>
      </c>
      <c r="B29" s="9" t="n">
        <f aca="false">$B$19*$B$5</f>
        <v>383331.4</v>
      </c>
    </row>
    <row r="30" customFormat="false" ht="15" hidden="false" customHeight="false" outlineLevel="0" collapsed="false">
      <c r="A30" s="5" t="s">
        <v>870</v>
      </c>
      <c r="B30" s="9" t="n">
        <f aca="false">$B$29*$B$7</f>
        <v>38333.14</v>
      </c>
    </row>
    <row r="31" customFormat="false" ht="15" hidden="false" customHeight="false" outlineLevel="0" collapsed="false">
      <c r="A31" s="5" t="s">
        <v>871</v>
      </c>
      <c r="B31" s="9" t="n">
        <f aca="false">$B$29-$B$30</f>
        <v>344998.26</v>
      </c>
    </row>
    <row r="32" customFormat="false" ht="15" hidden="false" customHeight="false" outlineLevel="0" collapsed="false">
      <c r="A32" s="5" t="s">
        <v>872</v>
      </c>
      <c r="B32" s="9" t="n">
        <f aca="false">$B$31</f>
        <v>344998.26</v>
      </c>
    </row>
    <row r="33" customFormat="false" ht="15" hidden="false" customHeight="false" outlineLevel="0" collapsed="false">
      <c r="A33" s="5" t="s">
        <v>873</v>
      </c>
      <c r="B33" s="9" t="n">
        <f aca="false">$B$32-$B$28</f>
        <v>73493.6</v>
      </c>
    </row>
    <row r="34" customFormat="false" ht="15" hidden="false" customHeight="false" outlineLevel="0" collapsed="false">
      <c r="A34" s="5" t="s">
        <v>874</v>
      </c>
      <c r="B34" s="8" t="n">
        <f aca="false">IF($B$32=0,0,$B$33/$B$32)</f>
        <v>0.213026001928242</v>
      </c>
    </row>
    <row r="35" customFormat="false" ht="15" hidden="false" customHeight="false" outlineLevel="0" collapsed="false">
      <c r="A35" s="5" t="s">
        <v>875</v>
      </c>
      <c r="B35" s="9" t="n">
        <f aca="false">$B$28/(1-$B$24)</f>
        <v>326327.716346154</v>
      </c>
    </row>
    <row r="36" customFormat="false" ht="15" hidden="false" customHeight="false" outlineLevel="0" collapsed="false">
      <c r="A36" s="5" t="s">
        <v>876</v>
      </c>
      <c r="B36" s="9" t="n">
        <f aca="false">$B$28/(1-$B$11)</f>
        <v>362006.213333333</v>
      </c>
    </row>
    <row r="37" customFormat="false" ht="15" hidden="false" customHeight="false" outlineLevel="0" collapsed="false">
      <c r="A37" s="5" t="s">
        <v>877</v>
      </c>
      <c r="B37" s="8" t="n">
        <f aca="false">MAX(0,($B$29-$B$35)/$B$29)</f>
        <v>0.148706011701223</v>
      </c>
    </row>
    <row r="38" customFormat="false" ht="15" hidden="false" customHeight="false" outlineLevel="0" collapsed="false">
      <c r="A38" s="5" t="s">
        <v>878</v>
      </c>
      <c r="B38" s="8" t="n">
        <f aca="false">MIN(0.95,MAX(0.03, $B$14 + $B$7*0.6 - (($B$8/$B$31)-1)*0.5 + MIN($B$15,10)*0.005 + IF($B$16=1,0.05,0) - MAX(0,$B$9-45)*0.0007))</f>
        <v>0.617679332063878</v>
      </c>
    </row>
    <row r="39" customFormat="false" ht="15" hidden="false" customHeight="false" outlineLevel="0" collapsed="false">
      <c r="A39" s="5" t="s">
        <v>879</v>
      </c>
      <c r="B39" s="9" t="n">
        <f aca="false">$B$32*$B$38</f>
        <v>213098.2948</v>
      </c>
    </row>
    <row r="40" customFormat="false" ht="15" hidden="false" customHeight="false" outlineLevel="0" collapsed="false">
      <c r="A40" s="5" t="s">
        <v>880</v>
      </c>
      <c r="B40" s="9" t="n">
        <f aca="false">$B$33*$B$38</f>
        <v>45395.4777589698</v>
      </c>
    </row>
    <row r="42" customFormat="false" ht="15" hidden="false" customHeight="false" outlineLevel="0" collapsed="false">
      <c r="A42" s="5" t="s">
        <v>881</v>
      </c>
    </row>
    <row r="43" customFormat="false" ht="15" hidden="false" customHeight="false" outlineLevel="0" collapsed="false">
      <c r="A43" s="2" t="s">
        <v>882</v>
      </c>
      <c r="B43" s="4" t="str">
        <f aca="false">IF($B$31&lt;$B$35,"Below Minimum Margin",IF($B$31&lt;$B$36,"Competitive",IF($B$31&lt;=$B$36*1.05,"Target Margin Achieved","Premium Pricing")))</f>
        <v>Competitive</v>
      </c>
    </row>
    <row r="44" customFormat="false" ht="15" hidden="false" customHeight="false" outlineLevel="0" collapsed="false">
      <c r="A44" s="2" t="s">
        <v>883</v>
      </c>
      <c r="B44" s="4" t="str">
        <f aca="false">IF($B$7&gt;$B$25,"ESCALATION: Discount exceeds maximum allowed",IF($B$7&gt;$B$25*0.6,"Manager approval recommended","Within normal range"))</f>
        <v>Within normal range</v>
      </c>
    </row>
    <row r="45" customFormat="false" ht="15" hidden="false" customHeight="false" outlineLevel="0" collapsed="false">
      <c r="A45" s="2" t="s">
        <v>884</v>
      </c>
      <c r="B45" s="4" t="str">
        <f aca="false">IF($B$34&lt;$B$24,"RED: Below minimum margin",IF($B$34&lt;$B$11,"AMBER: Below target margin","GREEN: Target margin achieved"))</f>
        <v>AMBER: Below target margin</v>
      </c>
    </row>
  </sheetData>
  <dataValidations count="2">
    <dataValidation allowBlank="false" errorStyle="stop" operator="between" showDropDown="false" showErrorMessage="false" showInputMessage="false" sqref="B3" type="list">
      <formula1>Customers!$B$2:$B$101</formula1>
      <formula2>0</formula2>
    </dataValidation>
    <dataValidation allowBlank="false" errorStyle="stop" operator="between" showDropDown="false" showErrorMessage="false" showInputMessage="false" sqref="B4" type="list">
      <formula1>Products!$B$2:$B$31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4" min="3" style="0" width="14"/>
    <col collapsed="false" customWidth="true" hidden="false" outlineLevel="0" max="6" min="5" style="0" width="13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14"/>
  </cols>
  <sheetData>
    <row r="1" customFormat="false" ht="17.35" hidden="false" customHeight="false" outlineLevel="0" collapsed="false">
      <c r="A1" s="1" t="s">
        <v>885</v>
      </c>
    </row>
    <row r="3" customFormat="false" ht="15" hidden="false" customHeight="false" outlineLevel="0" collapsed="false">
      <c r="A3" s="2" t="s">
        <v>886</v>
      </c>
    </row>
    <row r="5" customFormat="false" ht="15" hidden="false" customHeight="false" outlineLevel="0" collapsed="false">
      <c r="A5" s="3" t="s">
        <v>887</v>
      </c>
      <c r="B5" s="3" t="s">
        <v>849</v>
      </c>
      <c r="C5" s="3" t="s">
        <v>871</v>
      </c>
      <c r="D5" s="3" t="s">
        <v>872</v>
      </c>
      <c r="E5" s="3" t="s">
        <v>868</v>
      </c>
      <c r="F5" s="3" t="s">
        <v>873</v>
      </c>
      <c r="G5" s="3" t="s">
        <v>888</v>
      </c>
      <c r="H5" s="3" t="s">
        <v>889</v>
      </c>
      <c r="I5" s="3" t="s">
        <v>879</v>
      </c>
      <c r="J5" s="3" t="s">
        <v>880</v>
      </c>
    </row>
    <row r="6" customFormat="false" ht="15" hidden="false" customHeight="false" outlineLevel="0" collapsed="false">
      <c r="A6" s="4" t="s">
        <v>890</v>
      </c>
      <c r="B6" s="10" t="n">
        <v>0.05</v>
      </c>
      <c r="C6" s="9" t="n">
        <f aca="false">'Pricing Calculator'!$B$29*(1-B6)</f>
        <v>364164.83</v>
      </c>
      <c r="D6" s="9" t="n">
        <f aca="false">C6</f>
        <v>364164.83</v>
      </c>
      <c r="E6" s="9" t="n">
        <f aca="false">'Pricing Calculator'!$B$28</f>
        <v>271504.66</v>
      </c>
      <c r="F6" s="9" t="n">
        <f aca="false">D6-E6</f>
        <v>92660.17</v>
      </c>
      <c r="G6" s="8" t="n">
        <f aca="false">IF(D6=0,0,F6/D6)</f>
        <v>0.254445686037282</v>
      </c>
      <c r="H6" s="8" t="n">
        <f aca="false">MIN(0.95,MAX(0.03, 'Pricing Calculator'!$B$38 + (B6-'Pricing Calculator'!$B$7)*0.6))</f>
        <v>0.587679332063878</v>
      </c>
      <c r="I6" s="9" t="n">
        <f aca="false">D6*H6</f>
        <v>214012.144055556</v>
      </c>
      <c r="J6" s="9" t="n">
        <f aca="false">F6*H6</f>
        <v>54454.4668145254</v>
      </c>
    </row>
    <row r="7" customFormat="false" ht="15" hidden="false" customHeight="false" outlineLevel="0" collapsed="false">
      <c r="A7" s="4" t="s">
        <v>891</v>
      </c>
      <c r="B7" s="10" t="n">
        <v>0.1</v>
      </c>
      <c r="C7" s="9" t="n">
        <f aca="false">'Pricing Calculator'!$B$29*(1-B7)</f>
        <v>344998.26</v>
      </c>
      <c r="D7" s="9" t="n">
        <f aca="false">C7</f>
        <v>344998.26</v>
      </c>
      <c r="E7" s="9" t="n">
        <f aca="false">'Pricing Calculator'!$B$28</f>
        <v>271504.66</v>
      </c>
      <c r="F7" s="9" t="n">
        <f aca="false">D7-E7</f>
        <v>73493.6</v>
      </c>
      <c r="G7" s="8" t="n">
        <f aca="false">IF(D7=0,0,F7/D7)</f>
        <v>0.213026001928242</v>
      </c>
      <c r="H7" s="8" t="n">
        <f aca="false">MIN(0.95,MAX(0.03, 'Pricing Calculator'!$B$38 + (B7-'Pricing Calculator'!$B$7)*0.6))</f>
        <v>0.617679332063878</v>
      </c>
      <c r="I7" s="9" t="n">
        <f aca="false">D7*H7</f>
        <v>213098.2948</v>
      </c>
      <c r="J7" s="9" t="n">
        <f aca="false">F7*H7</f>
        <v>45395.4777589698</v>
      </c>
    </row>
    <row r="8" customFormat="false" ht="15" hidden="false" customHeight="false" outlineLevel="0" collapsed="false">
      <c r="A8" s="4" t="s">
        <v>892</v>
      </c>
      <c r="B8" s="10" t="n">
        <v>0.15</v>
      </c>
      <c r="C8" s="9" t="n">
        <f aca="false">'Pricing Calculator'!$B$29*(1-B8)</f>
        <v>325831.69</v>
      </c>
      <c r="D8" s="9" t="n">
        <f aca="false">C8</f>
        <v>325831.69</v>
      </c>
      <c r="E8" s="9" t="n">
        <f aca="false">'Pricing Calculator'!$B$28</f>
        <v>271504.66</v>
      </c>
      <c r="F8" s="9" t="n">
        <f aca="false">D8-E8</f>
        <v>54327.03</v>
      </c>
      <c r="G8" s="8" t="n">
        <f aca="false">IF(D8=0,0,F8/D8)</f>
        <v>0.166733413806374</v>
      </c>
      <c r="H8" s="8" t="n">
        <f aca="false">MIN(0.95,MAX(0.03, 'Pricing Calculator'!$B$38 + (B8-'Pricing Calculator'!$B$7)*0.6))</f>
        <v>0.647679332063878</v>
      </c>
      <c r="I8" s="9" t="n">
        <f aca="false">D8*H8</f>
        <v>211034.451344444</v>
      </c>
      <c r="J8" s="9" t="n">
        <f aca="false">F8*H8</f>
        <v>35186.4945034143</v>
      </c>
    </row>
    <row r="9" customFormat="false" ht="15" hidden="false" customHeight="false" outlineLevel="0" collapsed="false">
      <c r="A9" s="4" t="s">
        <v>893</v>
      </c>
      <c r="B9" s="10" t="n">
        <v>0.2</v>
      </c>
      <c r="C9" s="9" t="n">
        <f aca="false">'Pricing Calculator'!$B$29*(1-B9)</f>
        <v>306665.12</v>
      </c>
      <c r="D9" s="9" t="n">
        <f aca="false">C9</f>
        <v>306665.12</v>
      </c>
      <c r="E9" s="9" t="n">
        <f aca="false">'Pricing Calculator'!$B$28</f>
        <v>271504.66</v>
      </c>
      <c r="F9" s="9" t="n">
        <f aca="false">D9-E9</f>
        <v>35160.4600000001</v>
      </c>
      <c r="G9" s="8" t="n">
        <f aca="false">IF(D9=0,0,F9/D9)</f>
        <v>0.114654252169272</v>
      </c>
      <c r="H9" s="8" t="n">
        <f aca="false">MIN(0.95,MAX(0.03, 'Pricing Calculator'!$B$38 + (B9-'Pricing Calculator'!$B$7)*0.6))</f>
        <v>0.677679332063878</v>
      </c>
      <c r="I9" s="9" t="n">
        <f aca="false">D9*H9</f>
        <v>207820.613688889</v>
      </c>
      <c r="J9" s="9" t="n">
        <f aca="false">F9*H9</f>
        <v>23827.5170478587</v>
      </c>
    </row>
    <row r="12" customFormat="false" ht="15" hidden="false" customHeight="false" outlineLevel="0" collapsed="false">
      <c r="A12" s="2" t="s">
        <v>894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4" min="4" style="0" width="20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895</v>
      </c>
    </row>
    <row r="3" customFormat="false" ht="15" hidden="false" customHeight="false" outlineLevel="0" collapsed="false">
      <c r="A3" s="5" t="s">
        <v>896</v>
      </c>
    </row>
    <row r="4" customFormat="false" ht="15" hidden="false" customHeight="false" outlineLevel="0" collapsed="false">
      <c r="A4" s="2" t="s">
        <v>897</v>
      </c>
      <c r="B4" s="7" t="n">
        <v>0.15</v>
      </c>
      <c r="D4" s="5" t="s">
        <v>898</v>
      </c>
    </row>
    <row r="5" customFormat="false" ht="15" hidden="false" customHeight="false" outlineLevel="0" collapsed="false">
      <c r="A5" s="2" t="s">
        <v>899</v>
      </c>
      <c r="B5" s="7" t="n">
        <v>0.15</v>
      </c>
      <c r="D5" s="2" t="s">
        <v>897</v>
      </c>
      <c r="E5" s="6" t="n">
        <v>1</v>
      </c>
    </row>
    <row r="6" customFormat="false" ht="15" hidden="false" customHeight="false" outlineLevel="0" collapsed="false">
      <c r="A6" s="2" t="s">
        <v>900</v>
      </c>
      <c r="B6" s="7" t="n">
        <v>0.2</v>
      </c>
      <c r="D6" s="2" t="s">
        <v>899</v>
      </c>
      <c r="E6" s="6" t="n">
        <v>1</v>
      </c>
    </row>
    <row r="7" customFormat="false" ht="15" hidden="false" customHeight="false" outlineLevel="0" collapsed="false">
      <c r="A7" s="2" t="s">
        <v>901</v>
      </c>
      <c r="B7" s="7" t="n">
        <v>0.15</v>
      </c>
      <c r="D7" s="2" t="s">
        <v>900</v>
      </c>
      <c r="E7" s="6" t="n">
        <v>1</v>
      </c>
    </row>
    <row r="8" customFormat="false" ht="15" hidden="false" customHeight="false" outlineLevel="0" collapsed="false">
      <c r="A8" s="2" t="s">
        <v>902</v>
      </c>
      <c r="B8" s="7" t="n">
        <v>0.1</v>
      </c>
      <c r="D8" s="2" t="s">
        <v>901</v>
      </c>
      <c r="E8" s="6" t="n">
        <v>1</v>
      </c>
    </row>
    <row r="9" customFormat="false" ht="15" hidden="false" customHeight="false" outlineLevel="0" collapsed="false">
      <c r="A9" s="2" t="s">
        <v>903</v>
      </c>
      <c r="B9" s="7" t="n">
        <v>0.1</v>
      </c>
      <c r="D9" s="2" t="s">
        <v>902</v>
      </c>
      <c r="E9" s="6" t="n">
        <v>0</v>
      </c>
    </row>
    <row r="10" customFormat="false" ht="15" hidden="false" customHeight="false" outlineLevel="0" collapsed="false">
      <c r="A10" s="2" t="s">
        <v>904</v>
      </c>
      <c r="B10" s="7" t="n">
        <v>0.1</v>
      </c>
      <c r="D10" s="2" t="s">
        <v>903</v>
      </c>
      <c r="E10" s="6" t="n">
        <v>0</v>
      </c>
    </row>
    <row r="11" customFormat="false" ht="15" hidden="false" customHeight="false" outlineLevel="0" collapsed="false">
      <c r="A11" s="2" t="s">
        <v>905</v>
      </c>
      <c r="B11" s="7" t="n">
        <v>0.05</v>
      </c>
      <c r="D11" s="2" t="s">
        <v>904</v>
      </c>
      <c r="E11" s="6" t="n">
        <v>1</v>
      </c>
    </row>
    <row r="12" customFormat="false" ht="15" hidden="false" customHeight="false" outlineLevel="0" collapsed="false">
      <c r="A12" s="5" t="s">
        <v>906</v>
      </c>
      <c r="B12" s="11" t="n">
        <f aca="false">SUM(B4:B11)</f>
        <v>1</v>
      </c>
      <c r="D12" s="2" t="s">
        <v>905</v>
      </c>
      <c r="E12" s="6" t="n">
        <v>0</v>
      </c>
    </row>
    <row r="14" customFormat="false" ht="15" hidden="false" customHeight="false" outlineLevel="0" collapsed="false">
      <c r="A14" s="5" t="s">
        <v>907</v>
      </c>
      <c r="B14" s="12" t="n">
        <f aca="false">(E5/2)*100*B4+(E6/2)*100*B5+(E7/2)*100*B6+(E8/2)*100*B7+(E9/2)*100*B8+(E10/2)*100*B9+(E11/2)*100*B10+(E12/2)*100*B11</f>
        <v>37.5</v>
      </c>
    </row>
    <row r="15" customFormat="false" ht="15" hidden="false" customHeight="false" outlineLevel="0" collapsed="false">
      <c r="A15" s="5" t="s">
        <v>908</v>
      </c>
      <c r="B15" s="2" t="str">
        <f aca="false">IF(B14&lt;=30,"Low",IF(B14&lt;=60,"Medium","High"))</f>
        <v>Medium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0"/>
  </cols>
  <sheetData>
    <row r="1" customFormat="false" ht="17.35" hidden="false" customHeight="false" outlineLevel="0" collapsed="false">
      <c r="A1" s="1" t="s">
        <v>909</v>
      </c>
    </row>
    <row r="3" customFormat="false" ht="15" hidden="false" customHeight="false" outlineLevel="0" collapsed="false">
      <c r="A3" s="5" t="s">
        <v>910</v>
      </c>
      <c r="B3" s="4" t="str">
        <f aca="false">'Pricing Calculator'!$B$3</f>
        <v>IOCL Industries 1</v>
      </c>
    </row>
    <row r="4" customFormat="false" ht="15" hidden="false" customHeight="false" outlineLevel="0" collapsed="false">
      <c r="A4" s="5" t="s">
        <v>911</v>
      </c>
      <c r="B4" s="4" t="str">
        <f aca="false">'Pricing Calculator'!$B$4</f>
        <v>Industrial Pump</v>
      </c>
    </row>
    <row r="5" customFormat="false" ht="15" hidden="false" customHeight="false" outlineLevel="0" collapsed="false">
      <c r="A5" s="5" t="s">
        <v>847</v>
      </c>
      <c r="B5" s="4" t="n">
        <f aca="false">'Pricing Calculator'!$B$5</f>
        <v>2</v>
      </c>
    </row>
    <row r="6" customFormat="false" ht="15" hidden="false" customHeight="false" outlineLevel="0" collapsed="false">
      <c r="A6" s="5" t="s">
        <v>871</v>
      </c>
      <c r="B6" s="9" t="n">
        <f aca="false">'Pricing Calculator'!$B$31</f>
        <v>344998.26</v>
      </c>
    </row>
    <row r="7" customFormat="false" ht="15" hidden="false" customHeight="false" outlineLevel="0" collapsed="false">
      <c r="A7" s="5" t="s">
        <v>849</v>
      </c>
      <c r="B7" s="8" t="n">
        <f aca="false">'Pricing Calculator'!$B$7</f>
        <v>0.1</v>
      </c>
    </row>
    <row r="8" customFormat="false" ht="15" hidden="false" customHeight="false" outlineLevel="0" collapsed="false">
      <c r="A8" s="5" t="s">
        <v>912</v>
      </c>
      <c r="B8" s="9" t="n">
        <f aca="false">'Pricing Calculator'!$B$31</f>
        <v>344998.26</v>
      </c>
    </row>
    <row r="9" customFormat="false" ht="15" hidden="false" customHeight="false" outlineLevel="0" collapsed="false">
      <c r="A9" s="5" t="s">
        <v>913</v>
      </c>
      <c r="B9" s="8" t="n">
        <f aca="false">'Pricing Calculator'!$B$34</f>
        <v>0.213026001928242</v>
      </c>
    </row>
    <row r="10" customFormat="false" ht="15" hidden="false" customHeight="false" outlineLevel="0" collapsed="false">
      <c r="A10" s="5" t="s">
        <v>851</v>
      </c>
      <c r="B10" s="4" t="n">
        <f aca="false">'Pricing Calculator'!$B$9</f>
        <v>45</v>
      </c>
    </row>
    <row r="11" customFormat="false" ht="15" hidden="false" customHeight="false" outlineLevel="0" collapsed="false">
      <c r="A11" s="5" t="s">
        <v>852</v>
      </c>
      <c r="B11" s="4" t="n">
        <f aca="false">'Pricing Calculator'!$B$10</f>
        <v>50</v>
      </c>
    </row>
    <row r="12" customFormat="false" ht="15" hidden="false" customHeight="false" outlineLevel="0" collapsed="false">
      <c r="A12" s="5" t="s">
        <v>889</v>
      </c>
      <c r="B12" s="8" t="n">
        <f aca="false">'Pricing Calculator'!$B$38</f>
        <v>0.617679332063878</v>
      </c>
    </row>
    <row r="13" customFormat="false" ht="15" hidden="false" customHeight="false" outlineLevel="0" collapsed="false">
      <c r="A13" s="5" t="s">
        <v>882</v>
      </c>
      <c r="B13" s="4" t="str">
        <f aca="false">'Pricing Calculator'!$B$43</f>
        <v>Competitive</v>
      </c>
    </row>
    <row r="14" customFormat="false" ht="15" hidden="false" customHeight="false" outlineLevel="0" collapsed="false">
      <c r="A14" s="5" t="s">
        <v>884</v>
      </c>
      <c r="B14" s="4" t="str">
        <f aca="false">'Pricing Calculator'!$B$45</f>
        <v>AMBER: Below target margin</v>
      </c>
    </row>
    <row r="17" customFormat="false" ht="15" hidden="false" customHeight="false" outlineLevel="0" collapsed="false">
      <c r="A17" s="2" t="s">
        <v>914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2026-10-03T05:59:26Z</dcterms:created>
  <dc:creator>openpyxl</dc:creator>
  <dc:description/>
  <dc:language>en-US</dc:language>
  <cp:lastModifiedBy/>
  <dcterms:modified xsi:type="dcterms:W3CDTF">2026-10-03T05:59:26Z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